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вдання 1" sheetId="1" r:id="rId4"/>
    <sheet state="visible" name="Завдання 2" sheetId="2" r:id="rId5"/>
    <sheet state="visible" name="Завдання 3-8" sheetId="3" r:id="rId6"/>
    <sheet state="visible" name="Завдання 9" sheetId="4" r:id="rId7"/>
  </sheets>
  <definedNames/>
  <calcPr/>
  <extLst>
    <ext uri="GoogleSheetsCustomDataVersion2">
      <go:sheetsCustomData xmlns:go="http://customooxmlschemas.google.com/" r:id="rId8" roundtripDataChecksum="1LAQPe2CCwvbWxqsJnzTIKBrcb69VcUfMXojSBvvtPo="/>
    </ext>
  </extLst>
</workbook>
</file>

<file path=xl/sharedStrings.xml><?xml version="1.0" encoding="utf-8"?>
<sst xmlns="http://schemas.openxmlformats.org/spreadsheetml/2006/main" count="76" uniqueCount="28">
  <si>
    <t>Значення (X)</t>
  </si>
  <si>
    <t>Імовірність (P)</t>
  </si>
  <si>
    <t>X^2</t>
  </si>
  <si>
    <t>M(X)</t>
  </si>
  <si>
    <t>(M(X))^2</t>
  </si>
  <si>
    <t>M(X^2)</t>
  </si>
  <si>
    <t>D(X)</t>
  </si>
  <si>
    <t>σ(X)</t>
  </si>
  <si>
    <t>x(i)</t>
  </si>
  <si>
    <t>p(i)</t>
  </si>
  <si>
    <t>M(x)</t>
  </si>
  <si>
    <t>Завдання 3</t>
  </si>
  <si>
    <t>Завдання 4</t>
  </si>
  <si>
    <t>M(Z)</t>
  </si>
  <si>
    <t>M(Y)</t>
  </si>
  <si>
    <t>D(Z)</t>
  </si>
  <si>
    <t>D(Y)</t>
  </si>
  <si>
    <t>Кофіцієнт X</t>
  </si>
  <si>
    <t>Кофіцієнт Y</t>
  </si>
  <si>
    <t>Завдання 5</t>
  </si>
  <si>
    <t>Завдання 6</t>
  </si>
  <si>
    <t>Завдання 7</t>
  </si>
  <si>
    <t>Завдання 8</t>
  </si>
  <si>
    <t>P(i)</t>
  </si>
  <si>
    <t>X</t>
  </si>
  <si>
    <t>Сума P</t>
  </si>
  <si>
    <t>X(i)</t>
  </si>
  <si>
    <t>X^2(i)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</si>
</sst>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>
      <sz val="18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4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center" vertical="center"/>
    </xf>
    <xf borderId="0" fillId="0" fontId="2" numFmtId="0" xfId="0" applyFont="1"/>
    <xf borderId="1" fillId="5" fontId="1" numFmtId="0" xfId="0" applyAlignment="1" applyBorder="1" applyFill="1" applyFont="1">
      <alignment horizontal="center" vertical="center"/>
    </xf>
    <xf borderId="5" fillId="5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38100</xdr:colOff>
      <xdr:row>0</xdr:row>
      <xdr:rowOff>171450</xdr:rowOff>
    </xdr:from>
    <xdr:ext cx="1800225" cy="771525"/>
    <xdr:sp>
      <xdr:nvSpPr>
        <xdr:cNvPr id="3" name="Shape 3"/>
        <xdr:cNvSpPr txBox="1"/>
      </xdr:nvSpPr>
      <xdr:spPr>
        <a:xfrm>
          <a:off x="4450650" y="3398421"/>
          <a:ext cx="1790701" cy="763158"/>
        </a:xfrm>
        <a:prstGeom prst="rect">
          <a:avLst/>
        </a:prstGeom>
        <a:noFill/>
        <a:ln>
          <a:noFill/>
        </a:ln>
      </xdr:spPr>
      <xdr:txBody>
        <a:bodyPr anchorCtr="0" anchor="b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514350</xdr:colOff>
      <xdr:row>16</xdr:row>
      <xdr:rowOff>123825</xdr:rowOff>
    </xdr:from>
    <xdr:ext cx="38100" cy="342900"/>
    <xdr:sp>
      <xdr:nvSpPr>
        <xdr:cNvPr id="4" name="Shape 4"/>
        <xdr:cNvSpPr txBox="1"/>
      </xdr:nvSpPr>
      <xdr:spPr>
        <a:xfrm>
          <a:off x="5345968" y="3607774"/>
          <a:ext cx="65" cy="344453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514350</xdr:colOff>
      <xdr:row>16</xdr:row>
      <xdr:rowOff>123825</xdr:rowOff>
    </xdr:from>
    <xdr:ext cx="38100" cy="171450"/>
    <xdr:sp>
      <xdr:nvSpPr>
        <xdr:cNvPr id="5" name="Shape 5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8.14"/>
    <col customWidth="1" min="3" max="3" width="7.29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8.0</v>
      </c>
      <c r="B2" s="2">
        <v>0.2</v>
      </c>
      <c r="C2" s="2">
        <f t="shared" ref="C2:C6" si="1">A2^2</f>
        <v>64</v>
      </c>
    </row>
    <row r="3">
      <c r="A3" s="2">
        <v>14.0</v>
      </c>
      <c r="B3" s="2">
        <v>0.1</v>
      </c>
      <c r="C3" s="2">
        <f t="shared" si="1"/>
        <v>196</v>
      </c>
    </row>
    <row r="4">
      <c r="A4" s="2">
        <v>17.0</v>
      </c>
      <c r="B4" s="2">
        <v>0.2</v>
      </c>
      <c r="C4" s="2">
        <f t="shared" si="1"/>
        <v>289</v>
      </c>
    </row>
    <row r="5">
      <c r="A5" s="2">
        <v>20.0</v>
      </c>
      <c r="B5" s="2">
        <v>0.2</v>
      </c>
      <c r="C5" s="2">
        <f t="shared" si="1"/>
        <v>400</v>
      </c>
    </row>
    <row r="6">
      <c r="A6" s="2">
        <v>25.0</v>
      </c>
      <c r="B6" s="2">
        <v>0.1</v>
      </c>
      <c r="C6" s="2">
        <f t="shared" si="1"/>
        <v>625</v>
      </c>
    </row>
    <row r="7">
      <c r="A7" s="3"/>
      <c r="B7" s="3"/>
      <c r="C7" s="3"/>
    </row>
    <row r="8">
      <c r="A8" s="1" t="s">
        <v>3</v>
      </c>
      <c r="B8" s="2">
        <f>SUMPRODUCT(A2:A6,B2:B6)</f>
        <v>12.9</v>
      </c>
      <c r="C8" s="3"/>
      <c r="D8" s="4"/>
    </row>
    <row r="9">
      <c r="A9" s="1" t="s">
        <v>4</v>
      </c>
      <c r="B9" s="2">
        <f>SUMPRODUCT(A2:A6,B2:B6)^2</f>
        <v>166.41</v>
      </c>
      <c r="C9" s="3"/>
      <c r="D9" s="4"/>
    </row>
    <row r="10">
      <c r="A10" s="1" t="s">
        <v>5</v>
      </c>
      <c r="B10" s="2">
        <f>SUMPRODUCT(B2:B6,C2:C6)</f>
        <v>232.7</v>
      </c>
      <c r="C10" s="3"/>
      <c r="D10" s="4"/>
    </row>
    <row r="11">
      <c r="A11" s="1" t="s">
        <v>6</v>
      </c>
      <c r="B11" s="2">
        <f>B10-B9</f>
        <v>66.29</v>
      </c>
      <c r="C11" s="3"/>
    </row>
    <row r="12">
      <c r="A12" s="1" t="s">
        <v>7</v>
      </c>
      <c r="B12" s="2">
        <f>SQRT(B11)</f>
        <v>8.141867108</v>
      </c>
      <c r="C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  <c r="C1" s="3"/>
      <c r="D1" s="3"/>
      <c r="E1" s="3"/>
    </row>
    <row r="2">
      <c r="A2" s="2">
        <v>5.0</v>
      </c>
      <c r="B2" s="2">
        <v>0.5</v>
      </c>
      <c r="C2" s="3"/>
      <c r="D2" s="1" t="s">
        <v>10</v>
      </c>
      <c r="E2" s="2">
        <v>7.0</v>
      </c>
    </row>
    <row r="3">
      <c r="A3" s="2">
        <v>8.0</v>
      </c>
      <c r="B3" s="2">
        <v>0.3</v>
      </c>
      <c r="C3" s="3"/>
      <c r="D3" s="3"/>
      <c r="E3" s="3"/>
    </row>
    <row r="4">
      <c r="A4" s="2">
        <f>((E2-SUMPRODUCT(A2:A3,B2:B3))/B4)</f>
        <v>10.5</v>
      </c>
      <c r="B4" s="2">
        <f>1-SUM(B2:B3)</f>
        <v>0.2</v>
      </c>
      <c r="C4" s="3"/>
      <c r="D4" s="3"/>
      <c r="E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4" width="8.71"/>
    <col customWidth="1" min="5" max="5" width="28.29"/>
    <col customWidth="1" min="6" max="6" width="8.71"/>
    <col customWidth="1" min="7" max="7" width="14.14"/>
    <col customWidth="1" min="8" max="10" width="8.71"/>
    <col customWidth="1" min="11" max="11" width="22.43"/>
    <col customWidth="1" min="12" max="26" width="8.71"/>
  </cols>
  <sheetData>
    <row r="1">
      <c r="A1" s="5" t="s">
        <v>11</v>
      </c>
      <c r="B1" s="6"/>
      <c r="C1" s="6"/>
      <c r="D1" s="6"/>
      <c r="E1" s="7"/>
      <c r="G1" s="5" t="s">
        <v>12</v>
      </c>
      <c r="H1" s="6"/>
      <c r="I1" s="6"/>
      <c r="J1" s="6"/>
      <c r="K1" s="7"/>
    </row>
    <row r="2">
      <c r="A2" s="1" t="s">
        <v>3</v>
      </c>
      <c r="B2" s="8">
        <v>46.0</v>
      </c>
      <c r="C2" s="9"/>
      <c r="D2" s="1" t="s">
        <v>13</v>
      </c>
      <c r="E2" s="10">
        <f>B7*B2+B8*B3</f>
        <v>524</v>
      </c>
      <c r="G2" s="1" t="s">
        <v>3</v>
      </c>
      <c r="H2" s="8">
        <v>73.0</v>
      </c>
      <c r="I2" s="9"/>
      <c r="J2" s="1" t="s">
        <v>13</v>
      </c>
      <c r="K2" s="10">
        <f>H7*H2+H8*H3</f>
        <v>-5</v>
      </c>
    </row>
    <row r="3">
      <c r="A3" s="1" t="s">
        <v>14</v>
      </c>
      <c r="B3" s="8">
        <v>68.0</v>
      </c>
      <c r="C3" s="9"/>
      <c r="D3" s="3"/>
      <c r="E3" s="11"/>
      <c r="G3" s="1" t="s">
        <v>14</v>
      </c>
      <c r="H3" s="8">
        <v>112.0</v>
      </c>
      <c r="I3" s="9"/>
      <c r="J3" s="3"/>
      <c r="K3" s="11"/>
    </row>
    <row r="4">
      <c r="A4" s="1" t="s">
        <v>6</v>
      </c>
      <c r="B4" s="8">
        <v>8.0</v>
      </c>
      <c r="C4" s="9"/>
      <c r="D4" s="1" t="s">
        <v>15</v>
      </c>
      <c r="E4" s="10">
        <f>B7^2*B4+B8^2*B5</f>
        <v>178</v>
      </c>
      <c r="G4" s="1" t="s">
        <v>6</v>
      </c>
      <c r="H4" s="8">
        <v>11.0</v>
      </c>
      <c r="I4" s="9"/>
      <c r="J4" s="1" t="s">
        <v>15</v>
      </c>
      <c r="K4" s="10">
        <f>H7^2*H4+H8^2*H5</f>
        <v>183</v>
      </c>
    </row>
    <row r="5">
      <c r="A5" s="1" t="s">
        <v>16</v>
      </c>
      <c r="B5" s="8">
        <v>2.0</v>
      </c>
      <c r="C5" s="9"/>
      <c r="D5" s="12" t="s">
        <v>7</v>
      </c>
      <c r="E5" s="8">
        <f>SQRT(E4)</f>
        <v>13.34166406</v>
      </c>
      <c r="G5" s="1" t="s">
        <v>16</v>
      </c>
      <c r="H5" s="8">
        <v>21.0</v>
      </c>
      <c r="I5" s="9"/>
      <c r="J5" s="12" t="s">
        <v>7</v>
      </c>
      <c r="K5" s="8">
        <f>SQRT(K4)</f>
        <v>13.52774926</v>
      </c>
    </row>
    <row r="6">
      <c r="A6" s="13"/>
      <c r="B6" s="9"/>
      <c r="C6" s="9"/>
      <c r="D6" s="9"/>
      <c r="E6" s="14"/>
      <c r="G6" s="13"/>
      <c r="H6" s="9"/>
      <c r="I6" s="9"/>
      <c r="J6" s="9"/>
      <c r="K6" s="14"/>
    </row>
    <row r="7">
      <c r="A7" s="1" t="s">
        <v>17</v>
      </c>
      <c r="B7" s="8">
        <v>4.0</v>
      </c>
      <c r="C7" s="9"/>
      <c r="D7" s="9"/>
      <c r="E7" s="14"/>
      <c r="G7" s="1" t="s">
        <v>17</v>
      </c>
      <c r="H7" s="8">
        <v>3.0</v>
      </c>
      <c r="I7" s="9"/>
      <c r="J7" s="9"/>
      <c r="K7" s="14"/>
    </row>
    <row r="8">
      <c r="A8" s="1" t="s">
        <v>18</v>
      </c>
      <c r="B8" s="8">
        <v>5.0</v>
      </c>
      <c r="C8" s="15"/>
      <c r="D8" s="15"/>
      <c r="E8" s="16"/>
      <c r="G8" s="1" t="s">
        <v>18</v>
      </c>
      <c r="H8" s="8">
        <v>-2.0</v>
      </c>
      <c r="I8" s="15"/>
      <c r="J8" s="15"/>
      <c r="K8" s="16"/>
    </row>
    <row r="10">
      <c r="A10" s="5" t="s">
        <v>19</v>
      </c>
      <c r="B10" s="6"/>
      <c r="C10" s="6"/>
      <c r="D10" s="6"/>
      <c r="E10" s="7"/>
      <c r="G10" s="5" t="s">
        <v>20</v>
      </c>
      <c r="H10" s="6"/>
      <c r="I10" s="6"/>
      <c r="J10" s="6"/>
      <c r="K10" s="7"/>
    </row>
    <row r="11">
      <c r="A11" s="1" t="s">
        <v>3</v>
      </c>
      <c r="B11" s="8">
        <v>3.9</v>
      </c>
      <c r="C11" s="9"/>
      <c r="D11" s="1" t="s">
        <v>13</v>
      </c>
      <c r="E11" s="10">
        <f>B16*B11+B17*B12</f>
        <v>31.7</v>
      </c>
      <c r="G11" s="1" t="s">
        <v>3</v>
      </c>
      <c r="H11" s="8">
        <v>43.0</v>
      </c>
      <c r="I11" s="9"/>
      <c r="J11" s="1" t="s">
        <v>13</v>
      </c>
      <c r="K11" s="10">
        <f>H16*H11+H17*H12</f>
        <v>-147</v>
      </c>
    </row>
    <row r="12">
      <c r="A12" s="1" t="s">
        <v>14</v>
      </c>
      <c r="B12" s="8">
        <v>1.1</v>
      </c>
      <c r="C12" s="9"/>
      <c r="D12" s="3"/>
      <c r="E12" s="11"/>
      <c r="G12" s="1" t="s">
        <v>14</v>
      </c>
      <c r="H12" s="8">
        <v>135.0</v>
      </c>
      <c r="I12" s="9"/>
      <c r="J12" s="3"/>
      <c r="K12" s="11"/>
    </row>
    <row r="13">
      <c r="A13" s="1" t="s">
        <v>6</v>
      </c>
      <c r="B13" s="8">
        <v>2.1</v>
      </c>
      <c r="C13" s="9"/>
      <c r="D13" s="1" t="s">
        <v>15</v>
      </c>
      <c r="E13" s="10">
        <f>B16^2*B13+B17^2*B14</f>
        <v>158.9</v>
      </c>
      <c r="G13" s="1" t="s">
        <v>6</v>
      </c>
      <c r="H13" s="8">
        <v>27.0</v>
      </c>
      <c r="I13" s="9"/>
      <c r="J13" s="1" t="s">
        <v>15</v>
      </c>
      <c r="K13" s="10">
        <f>H16^2*H13+H17^2*H14</f>
        <v>1269</v>
      </c>
    </row>
    <row r="14">
      <c r="A14" s="1" t="s">
        <v>16</v>
      </c>
      <c r="B14" s="8">
        <v>3.5</v>
      </c>
      <c r="C14" s="9"/>
      <c r="D14" s="12" t="s">
        <v>7</v>
      </c>
      <c r="E14" s="8">
        <f>SQRT(E13)</f>
        <v>12.60555433</v>
      </c>
      <c r="G14" s="1" t="s">
        <v>16</v>
      </c>
      <c r="H14" s="8">
        <v>33.0</v>
      </c>
      <c r="I14" s="9"/>
      <c r="J14" s="12" t="s">
        <v>7</v>
      </c>
      <c r="K14" s="8">
        <f>SQRT(K13)</f>
        <v>35.62302626</v>
      </c>
    </row>
    <row r="15">
      <c r="A15" s="13"/>
      <c r="B15" s="9"/>
      <c r="C15" s="9"/>
      <c r="D15" s="9"/>
      <c r="E15" s="14"/>
      <c r="G15" s="13"/>
      <c r="H15" s="9"/>
      <c r="I15" s="9"/>
      <c r="J15" s="9"/>
      <c r="K15" s="14"/>
    </row>
    <row r="16">
      <c r="A16" s="1" t="s">
        <v>17</v>
      </c>
      <c r="B16" s="8">
        <v>7.0</v>
      </c>
      <c r="C16" s="9"/>
      <c r="D16" s="9"/>
      <c r="E16" s="14"/>
      <c r="G16" s="1" t="s">
        <v>17</v>
      </c>
      <c r="H16" s="8">
        <v>6.0</v>
      </c>
      <c r="I16" s="9"/>
      <c r="J16" s="9"/>
      <c r="K16" s="14"/>
    </row>
    <row r="17">
      <c r="A17" s="1" t="s">
        <v>18</v>
      </c>
      <c r="B17" s="8">
        <v>4.0</v>
      </c>
      <c r="C17" s="15"/>
      <c r="D17" s="15"/>
      <c r="E17" s="16"/>
      <c r="G17" s="1" t="s">
        <v>18</v>
      </c>
      <c r="H17" s="8">
        <v>-3.0</v>
      </c>
      <c r="I17" s="15"/>
      <c r="J17" s="15"/>
      <c r="K17" s="16"/>
    </row>
    <row r="19">
      <c r="A19" s="5" t="s">
        <v>21</v>
      </c>
      <c r="B19" s="6"/>
      <c r="C19" s="6"/>
      <c r="D19" s="6"/>
      <c r="E19" s="7"/>
      <c r="G19" s="5" t="s">
        <v>22</v>
      </c>
      <c r="H19" s="6"/>
      <c r="I19" s="6"/>
      <c r="J19" s="6"/>
      <c r="K19" s="7"/>
    </row>
    <row r="20">
      <c r="A20" s="1" t="s">
        <v>3</v>
      </c>
      <c r="B20" s="8">
        <v>43.0</v>
      </c>
      <c r="C20" s="9"/>
      <c r="D20" s="1" t="s">
        <v>13</v>
      </c>
      <c r="E20" s="10">
        <f>B25*B20+B26*B21+4</f>
        <v>-327</v>
      </c>
      <c r="G20" s="1" t="s">
        <v>3</v>
      </c>
      <c r="H20" s="8">
        <v>7.9</v>
      </c>
      <c r="I20" s="9"/>
      <c r="J20" s="1" t="s">
        <v>13</v>
      </c>
      <c r="K20" s="10">
        <f>H25*H20+H26*H21+5</f>
        <v>-45.3</v>
      </c>
    </row>
    <row r="21" ht="15.75" customHeight="1">
      <c r="A21" s="1" t="s">
        <v>14</v>
      </c>
      <c r="B21" s="8">
        <v>135.0</v>
      </c>
      <c r="C21" s="9"/>
      <c r="D21" s="3"/>
      <c r="E21" s="11"/>
      <c r="G21" s="1" t="s">
        <v>14</v>
      </c>
      <c r="H21" s="8">
        <v>9.1</v>
      </c>
      <c r="I21" s="9"/>
      <c r="J21" s="3"/>
      <c r="K21" s="11"/>
    </row>
    <row r="22" ht="15.75" customHeight="1">
      <c r="A22" s="1" t="s">
        <v>6</v>
      </c>
      <c r="B22" s="8">
        <v>27.0</v>
      </c>
      <c r="C22" s="9"/>
      <c r="D22" s="1" t="s">
        <v>15</v>
      </c>
      <c r="E22" s="10">
        <f>B25^2*B22+B26^2*B23</f>
        <v>2553</v>
      </c>
      <c r="G22" s="1" t="s">
        <v>6</v>
      </c>
      <c r="H22" s="8">
        <v>1.1</v>
      </c>
      <c r="I22" s="9"/>
      <c r="J22" s="1" t="s">
        <v>15</v>
      </c>
      <c r="K22" s="10">
        <f>H25^2*H22+H26^2*H23</f>
        <v>382.1</v>
      </c>
    </row>
    <row r="23" ht="15.75" customHeight="1">
      <c r="A23" s="1" t="s">
        <v>16</v>
      </c>
      <c r="B23" s="8">
        <v>33.0</v>
      </c>
      <c r="C23" s="9"/>
      <c r="D23" s="12" t="s">
        <v>7</v>
      </c>
      <c r="E23" s="8">
        <f>SQRT(E22)</f>
        <v>50.52722039</v>
      </c>
      <c r="G23" s="1" t="s">
        <v>16</v>
      </c>
      <c r="H23" s="8">
        <v>4.5</v>
      </c>
      <c r="I23" s="9"/>
      <c r="J23" s="12" t="s">
        <v>7</v>
      </c>
      <c r="K23" s="8">
        <f>SQRT(K22)</f>
        <v>19.54737834</v>
      </c>
    </row>
    <row r="24" ht="15.75" customHeight="1">
      <c r="A24" s="13"/>
      <c r="B24" s="9"/>
      <c r="C24" s="9"/>
      <c r="D24" s="9"/>
      <c r="E24" s="14"/>
      <c r="G24" s="13"/>
      <c r="H24" s="9"/>
      <c r="I24" s="9"/>
      <c r="J24" s="9"/>
      <c r="K24" s="14"/>
    </row>
    <row r="25" ht="15.75" customHeight="1">
      <c r="A25" s="1" t="s">
        <v>17</v>
      </c>
      <c r="B25" s="8">
        <v>8.0</v>
      </c>
      <c r="C25" s="9"/>
      <c r="D25" s="9"/>
      <c r="E25" s="14"/>
      <c r="G25" s="1" t="s">
        <v>17</v>
      </c>
      <c r="H25" s="8">
        <v>4.0</v>
      </c>
      <c r="I25" s="9"/>
      <c r="J25" s="9"/>
      <c r="K25" s="14"/>
    </row>
    <row r="26" ht="15.75" customHeight="1">
      <c r="A26" s="1" t="s">
        <v>18</v>
      </c>
      <c r="B26" s="8">
        <v>-5.0</v>
      </c>
      <c r="C26" s="15"/>
      <c r="D26" s="15"/>
      <c r="E26" s="16"/>
      <c r="G26" s="1" t="s">
        <v>18</v>
      </c>
      <c r="H26" s="8">
        <v>-9.0</v>
      </c>
      <c r="I26" s="15"/>
      <c r="J26" s="15"/>
      <c r="K26" s="1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G1:K1"/>
    <mergeCell ref="A10:E10"/>
    <mergeCell ref="G10:K10"/>
    <mergeCell ref="A19:E19"/>
    <mergeCell ref="G19:K1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7" width="11.14"/>
    <col customWidth="1" min="8" max="26" width="8.71"/>
  </cols>
  <sheetData>
    <row r="1">
      <c r="A1" s="17"/>
      <c r="B1" s="17"/>
      <c r="C1" s="17"/>
      <c r="D1" s="17"/>
      <c r="E1" s="17"/>
      <c r="F1" s="17" t="s">
        <v>23</v>
      </c>
      <c r="G1" s="17"/>
      <c r="H1" s="17" t="s">
        <v>24</v>
      </c>
      <c r="I1" s="17"/>
    </row>
    <row r="2">
      <c r="A2" s="17" t="s">
        <v>25</v>
      </c>
      <c r="B2" s="17">
        <v>1.0</v>
      </c>
      <c r="C2" s="17">
        <v>1.0</v>
      </c>
      <c r="D2" s="17">
        <v>1.0</v>
      </c>
      <c r="E2" s="17">
        <v>1.0</v>
      </c>
      <c r="F2" s="17">
        <f t="array" ref="F2:F4">MMULT(MINVERSE(B2:D4), E2:E4)</f>
        <v>0.2</v>
      </c>
      <c r="G2" s="17"/>
      <c r="H2" s="17">
        <v>1.0</v>
      </c>
      <c r="I2" s="17">
        <f t="array" ref="I2">IFS(H2&lt;=1, 0, H2&lt;=2, F2, H2&lt;=3, F2+F3, H2&gt;3, 1)</f>
        <v>0</v>
      </c>
    </row>
    <row r="3">
      <c r="A3" s="17" t="s">
        <v>26</v>
      </c>
      <c r="B3" s="17">
        <v>1.0</v>
      </c>
      <c r="C3" s="17">
        <v>2.0</v>
      </c>
      <c r="D3" s="17">
        <v>3.0</v>
      </c>
      <c r="E3" s="17">
        <v>2.3</v>
      </c>
      <c r="F3" s="17">
        <v>0.29999999999999805</v>
      </c>
      <c r="G3" s="17"/>
      <c r="H3" s="17">
        <v>2.0</v>
      </c>
      <c r="I3" s="17">
        <f t="array" ref="I3">IFS(H3&lt;=1, 0, H3&lt;=2, F3, H3&lt;=3, F3+F4, H3&gt;3, 1)</f>
        <v>0.3</v>
      </c>
    </row>
    <row r="4">
      <c r="A4" s="17" t="s">
        <v>27</v>
      </c>
      <c r="B4" s="17">
        <f t="shared" ref="B4:D4" si="1">B3^2</f>
        <v>1</v>
      </c>
      <c r="C4" s="17">
        <f t="shared" si="1"/>
        <v>4</v>
      </c>
      <c r="D4" s="17">
        <f t="shared" si="1"/>
        <v>9</v>
      </c>
      <c r="E4" s="17">
        <v>5.9</v>
      </c>
      <c r="F4" s="17">
        <v>0.5000000000000004</v>
      </c>
      <c r="G4" s="17"/>
      <c r="H4" s="17">
        <v>3.0</v>
      </c>
      <c r="I4" s="17">
        <f t="array" ref="I4">IFS(H4&lt;=1, 0, H4&lt;=2, F4, H4&lt;=3, F4+F5, H4&gt;3, 1)</f>
        <v>0.5</v>
      </c>
    </row>
    <row r="5">
      <c r="A5" s="17"/>
      <c r="B5" s="17"/>
      <c r="C5" s="17"/>
      <c r="D5" s="17"/>
      <c r="E5" s="17"/>
      <c r="F5" s="17"/>
      <c r="G5" s="17"/>
      <c r="H5" s="17">
        <v>4.0</v>
      </c>
      <c r="I5" s="17">
        <f t="array" ref="I5">IFS(H5&lt;=1, 0, H5&lt;=2, F5, H5&lt;=3, F5+F6, H5&gt;3, 1)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2026-03-31T19:48:48Z</dcterms:created>
  <dc:creator>Anonim GG</dc:creator>
</cp:coreProperties>
</file>