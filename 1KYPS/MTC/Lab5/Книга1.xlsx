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NU\MTC\Lab5\"/>
    </mc:Choice>
  </mc:AlternateContent>
  <xr:revisionPtr revIDLastSave="0" documentId="8_{37404DEE-0767-4984-82FF-7DF9C572307A}" xr6:coauthVersionLast="47" xr6:coauthVersionMax="47" xr10:uidLastSave="{00000000-0000-0000-0000-000000000000}"/>
  <bookViews>
    <workbookView xWindow="-120" yWindow="-120" windowWidth="29040" windowHeight="15840" xr2:uid="{943B66E7-04C7-49D0-814B-E31D1A232F21}"/>
  </bookViews>
  <sheets>
    <sheet name="Аркуш1" sheetId="1" r:id="rId1"/>
  </sheets>
  <definedNames>
    <definedName name="_xlchart.v1.0" hidden="1">Аркуш1!$N$4:$N$13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" i="1" l="1"/>
  <c r="N21" i="1"/>
  <c r="N22" i="1"/>
  <c r="N23" i="1"/>
  <c r="N24" i="1"/>
  <c r="N25" i="1"/>
  <c r="N26" i="1"/>
  <c r="N27" i="1"/>
  <c r="N28" i="1"/>
  <c r="N19" i="1"/>
  <c r="C19" i="1"/>
  <c r="N4" i="1"/>
  <c r="N5" i="1"/>
  <c r="N6" i="1"/>
  <c r="N7" i="1"/>
  <c r="N8" i="1"/>
  <c r="N9" i="1"/>
  <c r="N10" i="1"/>
  <c r="N11" i="1"/>
  <c r="N12" i="1"/>
  <c r="N13" i="1"/>
  <c r="C18" i="1"/>
  <c r="C15" i="1"/>
  <c r="C14" i="1"/>
</calcChain>
</file>

<file path=xl/sharedStrings.xml><?xml version="1.0" encoding="utf-8"?>
<sst xmlns="http://schemas.openxmlformats.org/spreadsheetml/2006/main" count="6" uniqueCount="6">
  <si>
    <t>1.</t>
  </si>
  <si>
    <t>2.</t>
  </si>
  <si>
    <t>3.</t>
  </si>
  <si>
    <t>4.</t>
  </si>
  <si>
    <t>5.</t>
  </si>
  <si>
    <t>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</si>
</sst>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Аркуш1!$N$19:$N$28</c:f>
              <c:numCache>
                <c:formatCode>General</c:formatCode>
                <c:ptCount val="10"/>
                <c:pt idx="0">
                  <c:v>0.3758096384000002</c:v>
                </c:pt>
                <c:pt idx="1">
                  <c:v>0.67779952639999996</c:v>
                </c:pt>
                <c:pt idx="2">
                  <c:v>0.87912611839999999</c:v>
                </c:pt>
                <c:pt idx="3">
                  <c:v>0.96720650240000006</c:v>
                </c:pt>
                <c:pt idx="4">
                  <c:v>0.99363061760000004</c:v>
                </c:pt>
                <c:pt idx="5">
                  <c:v>0.99913564160000001</c:v>
                </c:pt>
                <c:pt idx="6">
                  <c:v>0.99992207360000007</c:v>
                </c:pt>
                <c:pt idx="7">
                  <c:v>0.99999580160000001</c:v>
                </c:pt>
                <c:pt idx="8">
                  <c:v>0.99999989759999997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C-4690-9C1D-E9BA6B5C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472704"/>
        <c:axId val="430481024"/>
      </c:lineChart>
      <c:catAx>
        <c:axId val="43047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0481024"/>
        <c:crosses val="autoZero"/>
        <c:auto val="1"/>
        <c:lblAlgn val="ctr"/>
        <c:lblOffset val="100"/>
        <c:noMultiLvlLbl val="0"/>
      </c:catAx>
      <c:valAx>
        <c:axId val="4304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04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Аркуш1!$N$4:$N$13</c:f>
              <c:numCache>
                <c:formatCode>General</c:formatCode>
                <c:ptCount val="10"/>
                <c:pt idx="0">
                  <c:v>9.7656250000000017E-3</c:v>
                </c:pt>
                <c:pt idx="1">
                  <c:v>4.3945312499999972E-2</c:v>
                </c:pt>
                <c:pt idx="2">
                  <c:v>0.11718750000000003</c:v>
                </c:pt>
                <c:pt idx="3">
                  <c:v>0.20507812500000006</c:v>
                </c:pt>
                <c:pt idx="4">
                  <c:v>0.24609375000000008</c:v>
                </c:pt>
                <c:pt idx="5">
                  <c:v>0.20507812500000006</c:v>
                </c:pt>
                <c:pt idx="6">
                  <c:v>0.11718750000000003</c:v>
                </c:pt>
                <c:pt idx="7">
                  <c:v>4.3945312499999986E-2</c:v>
                </c:pt>
                <c:pt idx="8">
                  <c:v>9.7656250000000017E-3</c:v>
                </c:pt>
                <c:pt idx="9">
                  <c:v>9.765625E-4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7-4E37-A534-B4DB308E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445824"/>
        <c:axId val="427451648"/>
      </c:lineChart>
      <c:catAx>
        <c:axId val="4274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27451648"/>
        <c:crosses val="autoZero"/>
        <c:auto val="1"/>
        <c:lblAlgn val="ctr"/>
        <c:lblOffset val="100"/>
        <c:noMultiLvlLbl val="0"/>
      </c:catAx>
      <c:valAx>
        <c:axId val="4274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274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16</xdr:row>
      <xdr:rowOff>14287</xdr:rowOff>
    </xdr:from>
    <xdr:to>
      <xdr:col>11</xdr:col>
      <xdr:colOff>295275</xdr:colOff>
      <xdr:row>30</xdr:row>
      <xdr:rowOff>90487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2CF48468-071B-4207-9B6D-539BAE0BB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1</xdr:row>
      <xdr:rowOff>14287</xdr:rowOff>
    </xdr:from>
    <xdr:to>
      <xdr:col>11</xdr:col>
      <xdr:colOff>314325</xdr:colOff>
      <xdr:row>15</xdr:row>
      <xdr:rowOff>90487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6C7CDB75-629C-48F1-BF40-1510946BE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97A8-D86B-453C-BB16-72E455E1CB3F}">
  <dimension ref="B3:N28"/>
  <sheetViews>
    <sheetView tabSelected="1" workbookViewId="0">
      <selection activeCell="P14" sqref="P14"/>
    </sheetView>
  </sheetViews>
  <sheetFormatPr defaultRowHeight="15" x14ac:dyDescent="0.25"/>
  <sheetData>
    <row r="3" spans="2:14" x14ac:dyDescent="0.25">
      <c r="M3" s="3"/>
      <c r="N3" s="1" t="s">
        <v>2</v>
      </c>
    </row>
    <row r="4" spans="2:14" x14ac:dyDescent="0.25">
      <c r="M4" s="1">
        <v>1</v>
      </c>
      <c r="N4" s="2">
        <f>_xlfn.BINOM.DIST(M4, 10, 0.5, 0)</f>
        <v>9.7656250000000017E-3</v>
      </c>
    </row>
    <row r="5" spans="2:14" x14ac:dyDescent="0.25">
      <c r="M5" s="1">
        <v>2</v>
      </c>
      <c r="N5" s="2">
        <f>_xlfn.BINOM.DIST(M5, 10, 0.5, 0)</f>
        <v>4.3945312499999972E-2</v>
      </c>
    </row>
    <row r="6" spans="2:14" x14ac:dyDescent="0.25">
      <c r="M6" s="1">
        <v>3</v>
      </c>
      <c r="N6" s="2">
        <f>_xlfn.BINOM.DIST(M6, 10, 0.5, 0)</f>
        <v>0.11718750000000003</v>
      </c>
    </row>
    <row r="7" spans="2:14" x14ac:dyDescent="0.25">
      <c r="M7" s="1">
        <v>4</v>
      </c>
      <c r="N7" s="2">
        <f>_xlfn.BINOM.DIST(M7, 10, 0.5, 0)</f>
        <v>0.20507812500000006</v>
      </c>
    </row>
    <row r="8" spans="2:14" x14ac:dyDescent="0.25">
      <c r="M8" s="1">
        <v>5</v>
      </c>
      <c r="N8" s="2">
        <f>_xlfn.BINOM.DIST(M8, 10, 0.5, 0)</f>
        <v>0.24609375000000008</v>
      </c>
    </row>
    <row r="9" spans="2:14" x14ac:dyDescent="0.25">
      <c r="M9" s="1">
        <v>6</v>
      </c>
      <c r="N9" s="2">
        <f>_xlfn.BINOM.DIST(M9, 10, 0.5, 0)</f>
        <v>0.20507812500000006</v>
      </c>
    </row>
    <row r="10" spans="2:14" x14ac:dyDescent="0.25">
      <c r="M10" s="1">
        <v>7</v>
      </c>
      <c r="N10" s="2">
        <f>_xlfn.BINOM.DIST(M10, 10, 0.5, 0)</f>
        <v>0.11718750000000003</v>
      </c>
    </row>
    <row r="11" spans="2:14" x14ac:dyDescent="0.25">
      <c r="M11" s="1">
        <v>8</v>
      </c>
      <c r="N11" s="2">
        <f>_xlfn.BINOM.DIST(M11, 10, 0.5, 0)</f>
        <v>4.3945312499999986E-2</v>
      </c>
    </row>
    <row r="12" spans="2:14" x14ac:dyDescent="0.25">
      <c r="M12" s="1">
        <v>9</v>
      </c>
      <c r="N12" s="2">
        <f>_xlfn.BINOM.DIST(M12, 10, 0.5, 0)</f>
        <v>9.7656250000000017E-3</v>
      </c>
    </row>
    <row r="13" spans="2:14" x14ac:dyDescent="0.25">
      <c r="M13" s="1">
        <v>10</v>
      </c>
      <c r="N13" s="2">
        <f>_xlfn.BINOM.DIST(M13, 10, 0.5, 0)</f>
        <v>9.765625E-4</v>
      </c>
    </row>
    <row r="14" spans="2:14" x14ac:dyDescent="0.25">
      <c r="B14" s="1" t="s">
        <v>0</v>
      </c>
      <c r="C14" s="2">
        <f>_xlfn.BINOM.DIST(8, 10, 0.5, 0)</f>
        <v>4.3945312499999986E-2</v>
      </c>
    </row>
    <row r="15" spans="2:14" x14ac:dyDescent="0.25">
      <c r="B15" s="1" t="s">
        <v>1</v>
      </c>
      <c r="C15" s="2">
        <f>_xlfn.BINOM.DIST(6, 10, 0.5, 0)</f>
        <v>0.20507812500000006</v>
      </c>
    </row>
    <row r="18" spans="2:14" x14ac:dyDescent="0.25">
      <c r="B18" s="1" t="s">
        <v>4</v>
      </c>
      <c r="C18" s="2">
        <f>1 - _xlfn.BINOM.DIST(0, 20, 0.1, 0)</f>
        <v>0.87842334540943079</v>
      </c>
      <c r="M18" s="3"/>
      <c r="N18" s="1" t="s">
        <v>3</v>
      </c>
    </row>
    <row r="19" spans="2:14" x14ac:dyDescent="0.25">
      <c r="B19" s="1" t="s">
        <v>5</v>
      </c>
      <c r="C19" s="2">
        <f>CRITBINOM(6, 0.5, 0.75)</f>
        <v>4</v>
      </c>
      <c r="M19" s="1">
        <v>1</v>
      </c>
      <c r="N19" s="2">
        <f>_xlfn.BINOM.DIST(M19, 10, 0.2, 1)</f>
        <v>0.3758096384000002</v>
      </c>
    </row>
    <row r="20" spans="2:14" x14ac:dyDescent="0.25">
      <c r="M20" s="1">
        <v>2</v>
      </c>
      <c r="N20" s="2">
        <f t="shared" ref="N20:N28" si="0">_xlfn.BINOM.DIST(M20, 10, 0.2, 1)</f>
        <v>0.67779952639999996</v>
      </c>
    </row>
    <row r="21" spans="2:14" x14ac:dyDescent="0.25">
      <c r="M21" s="1">
        <v>3</v>
      </c>
      <c r="N21" s="2">
        <f t="shared" si="0"/>
        <v>0.87912611839999999</v>
      </c>
    </row>
    <row r="22" spans="2:14" x14ac:dyDescent="0.25">
      <c r="M22" s="1">
        <v>4</v>
      </c>
      <c r="N22" s="2">
        <f t="shared" si="0"/>
        <v>0.96720650240000006</v>
      </c>
    </row>
    <row r="23" spans="2:14" x14ac:dyDescent="0.25">
      <c r="M23" s="1">
        <v>5</v>
      </c>
      <c r="N23" s="2">
        <f t="shared" si="0"/>
        <v>0.99363061760000004</v>
      </c>
    </row>
    <row r="24" spans="2:14" x14ac:dyDescent="0.25">
      <c r="M24" s="1">
        <v>6</v>
      </c>
      <c r="N24" s="2">
        <f t="shared" si="0"/>
        <v>0.99913564160000001</v>
      </c>
    </row>
    <row r="25" spans="2:14" x14ac:dyDescent="0.25">
      <c r="M25" s="1">
        <v>7</v>
      </c>
      <c r="N25" s="2">
        <f t="shared" si="0"/>
        <v>0.99992207360000007</v>
      </c>
    </row>
    <row r="26" spans="2:14" x14ac:dyDescent="0.25">
      <c r="M26" s="1">
        <v>8</v>
      </c>
      <c r="N26" s="2">
        <f t="shared" si="0"/>
        <v>0.99999580160000001</v>
      </c>
    </row>
    <row r="27" spans="2:14" x14ac:dyDescent="0.25">
      <c r="M27" s="1">
        <v>9</v>
      </c>
      <c r="N27" s="2">
        <f t="shared" si="0"/>
        <v>0.99999989759999997</v>
      </c>
    </row>
    <row r="28" spans="2:14" x14ac:dyDescent="0.25">
      <c r="M28" s="1">
        <v>10</v>
      </c>
      <c r="N28" s="2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Anonim GG</cp:lastModifiedBy>
  <dcterms:created xsi:type="dcterms:W3CDTF">2026-04-14T20:20:39Z</dcterms:created>
  <dcterms:modified xsi:type="dcterms:W3CDTF">2026-04-14T20:39:34Z</dcterms:modified>
</cp:coreProperties>
</file>