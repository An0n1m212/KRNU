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DF006B-327F-4E4A-AA70-382AF8DA89A0}" xr6:coauthVersionLast="47" xr6:coauthVersionMax="47" xr10:uidLastSave="{00000000-0000-0000-0000-000000000000}"/>
  <bookViews>
    <workbookView xWindow="-120" yWindow="-120" windowWidth="29040" windowHeight="15840" xr2:uid="{A8C76F6A-4308-48EE-93AF-17C0FB8149BD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1" l="1"/>
  <c r="AC3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" i="1"/>
  <c r="O3" i="1"/>
  <c r="O4" i="1"/>
  <c r="O5" i="1"/>
  <c r="O6" i="1"/>
  <c r="O2" i="1"/>
  <c r="K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 applyAlignment="1"/>
    <xf numFmtId="0" fontId="0" fillId="4" borderId="1" xfId="0" applyFill="1" applyBorder="1" applyAlignment="1"/>
    <xf numFmtId="0" fontId="0" fillId="0" borderId="0" xfId="0" applyAlignment="1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Аркуш1!$A$2:$A$22</c:f>
              <c:numCache>
                <c:formatCode>General</c:formatCode>
                <c:ptCount val="2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</c:numCache>
            </c:numRef>
          </c:xVal>
          <c:yVal>
            <c:numRef>
              <c:f>Аркуш1!$B$2:$B$22</c:f>
              <c:numCache>
                <c:formatCode>General</c:formatCode>
                <c:ptCount val="21"/>
                <c:pt idx="0">
                  <c:v>5.140929987637018E-4</c:v>
                </c:pt>
                <c:pt idx="1">
                  <c:v>1.4772828039793357E-3</c:v>
                </c:pt>
                <c:pt idx="2">
                  <c:v>3.798662007932481E-3</c:v>
                </c:pt>
                <c:pt idx="3">
                  <c:v>8.7406296979031604E-3</c:v>
                </c:pt>
                <c:pt idx="4">
                  <c:v>1.7996988837729353E-2</c:v>
                </c:pt>
                <c:pt idx="5">
                  <c:v>3.3159046264249557E-2</c:v>
                </c:pt>
                <c:pt idx="6">
                  <c:v>5.4670024891997876E-2</c:v>
                </c:pt>
                <c:pt idx="7">
                  <c:v>8.0656908173047798E-2</c:v>
                </c:pt>
                <c:pt idx="8">
                  <c:v>0.10648266850745074</c:v>
                </c:pt>
                <c:pt idx="9">
                  <c:v>0.12579440923099772</c:v>
                </c:pt>
                <c:pt idx="10">
                  <c:v>0.13298076013381088</c:v>
                </c:pt>
                <c:pt idx="11">
                  <c:v>0.12579440923099772</c:v>
                </c:pt>
                <c:pt idx="12">
                  <c:v>0.10648266850745074</c:v>
                </c:pt>
                <c:pt idx="13">
                  <c:v>8.0656908173047798E-2</c:v>
                </c:pt>
                <c:pt idx="14">
                  <c:v>5.4670024891997876E-2</c:v>
                </c:pt>
                <c:pt idx="15">
                  <c:v>3.3159046264249557E-2</c:v>
                </c:pt>
                <c:pt idx="16">
                  <c:v>1.7996988837729353E-2</c:v>
                </c:pt>
                <c:pt idx="17">
                  <c:v>8.7406296979031604E-3</c:v>
                </c:pt>
                <c:pt idx="18">
                  <c:v>3.798662007932481E-3</c:v>
                </c:pt>
                <c:pt idx="19">
                  <c:v>1.4772828039793357E-3</c:v>
                </c:pt>
                <c:pt idx="20">
                  <c:v>5.140929987637018E-4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21-4779-8CF5-8D29407F2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72640"/>
        <c:axId val="171473472"/>
      </c:scatterChart>
      <c:valAx>
        <c:axId val="171472640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1473472"/>
        <c:crosses val="autoZero"/>
        <c:crossBetween val="midCat"/>
      </c:valAx>
      <c:valAx>
        <c:axId val="1714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147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Аркуш1!$N$2:$N$6</c:f>
              <c:numCache>
                <c:formatCode>General</c:formatCode>
                <c:ptCount val="5"/>
                <c:pt idx="0">
                  <c:v>34</c:v>
                </c:pt>
                <c:pt idx="1">
                  <c:v>37</c:v>
                </c:pt>
                <c:pt idx="2">
                  <c:v>40</c:v>
                </c:pt>
                <c:pt idx="3">
                  <c:v>43</c:v>
                </c:pt>
                <c:pt idx="4">
                  <c:v>46</c:v>
                </c:pt>
              </c:numCache>
            </c:numRef>
          </c:xVal>
          <c:yVal>
            <c:numRef>
              <c:f>Аркуш1!$O$2:$O$6</c:f>
              <c:numCache>
                <c:formatCode>General</c:formatCode>
                <c:ptCount val="5"/>
                <c:pt idx="0">
                  <c:v>2.2159242059690038E-3</c:v>
                </c:pt>
                <c:pt idx="1">
                  <c:v>6.4758797832945872E-2</c:v>
                </c:pt>
                <c:pt idx="2">
                  <c:v>0.19947114020071635</c:v>
                </c:pt>
                <c:pt idx="3">
                  <c:v>6.4758797832945872E-2</c:v>
                </c:pt>
                <c:pt idx="4">
                  <c:v>2.2159242059690038E-3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F-49FB-AA3D-967C81C26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54832"/>
        <c:axId val="164352752"/>
      </c:scatterChart>
      <c:valAx>
        <c:axId val="164354832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4352752"/>
        <c:crosses val="autoZero"/>
        <c:crossBetween val="midCat"/>
      </c:valAx>
      <c:valAx>
        <c:axId val="1643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435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8.8327054356300699E-2"/>
          <c:y val="0.18803556302129201"/>
          <c:w val="0.87369864481225556"/>
          <c:h val="0.6943559351939303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Аркуш1!$T$2:$T$22</c:f>
              <c:numCache>
                <c:formatCode>General</c:formatCode>
                <c:ptCount val="2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</c:numCache>
            </c:numRef>
          </c:xVal>
          <c:yVal>
            <c:numRef>
              <c:f>Аркуш1!$U$2:$U$22</c:f>
              <c:numCache>
                <c:formatCode>General</c:formatCode>
                <c:ptCount val="21"/>
                <c:pt idx="0">
                  <c:v>4.2906033319683703E-4</c:v>
                </c:pt>
                <c:pt idx="1">
                  <c:v>1.3498980316300933E-3</c:v>
                </c:pt>
                <c:pt idx="2">
                  <c:v>3.8303805675897356E-3</c:v>
                </c:pt>
                <c:pt idx="3">
                  <c:v>9.8153286286453353E-3</c:v>
                </c:pt>
                <c:pt idx="4">
                  <c:v>2.2750131948179191E-2</c:v>
                </c:pt>
                <c:pt idx="5">
                  <c:v>4.7790352272814703E-2</c:v>
                </c:pt>
                <c:pt idx="6">
                  <c:v>9.1211219725867876E-2</c:v>
                </c:pt>
                <c:pt idx="7">
                  <c:v>0.15865525393145699</c:v>
                </c:pt>
                <c:pt idx="8">
                  <c:v>0.25249253754692291</c:v>
                </c:pt>
                <c:pt idx="9">
                  <c:v>0.36944134018176361</c:v>
                </c:pt>
                <c:pt idx="10">
                  <c:v>0.5</c:v>
                </c:pt>
                <c:pt idx="11">
                  <c:v>0.63055865981823644</c:v>
                </c:pt>
                <c:pt idx="12">
                  <c:v>0.74750746245307709</c:v>
                </c:pt>
                <c:pt idx="13">
                  <c:v>0.84134474606854304</c:v>
                </c:pt>
                <c:pt idx="14">
                  <c:v>0.90878878027413212</c:v>
                </c:pt>
                <c:pt idx="15">
                  <c:v>0.9522096477271853</c:v>
                </c:pt>
                <c:pt idx="16">
                  <c:v>0.97724986805182079</c:v>
                </c:pt>
                <c:pt idx="17">
                  <c:v>0.99018467137135469</c:v>
                </c:pt>
                <c:pt idx="18">
                  <c:v>0.99616961943241022</c:v>
                </c:pt>
                <c:pt idx="19">
                  <c:v>0.9986501019683699</c:v>
                </c:pt>
                <c:pt idx="20">
                  <c:v>0.99957093966680322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6-43A8-B81B-3FE4128F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77472"/>
        <c:axId val="231182048"/>
      </c:scatterChart>
      <c:valAx>
        <c:axId val="231177472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31182048"/>
        <c:crosses val="autoZero"/>
        <c:crossBetween val="midCat"/>
      </c:valAx>
      <c:valAx>
        <c:axId val="2311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3117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33337</xdr:rowOff>
    </xdr:from>
    <xdr:to>
      <xdr:col>9</xdr:col>
      <xdr:colOff>552450</xdr:colOff>
      <xdr:row>14</xdr:row>
      <xdr:rowOff>109537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4218BF78-59BD-47AF-8C46-056638EF8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6</xdr:row>
      <xdr:rowOff>128586</xdr:rowOff>
    </xdr:from>
    <xdr:to>
      <xdr:col>16</xdr:col>
      <xdr:colOff>600075</xdr:colOff>
      <xdr:row>20</xdr:row>
      <xdr:rowOff>190499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70916937-52CD-41DC-AF26-D2260D91F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609599</xdr:colOff>
      <xdr:row>0</xdr:row>
      <xdr:rowOff>0</xdr:rowOff>
    </xdr:from>
    <xdr:to>
      <xdr:col>27</xdr:col>
      <xdr:colOff>542924</xdr:colOff>
      <xdr:row>13</xdr:row>
      <xdr:rowOff>28574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47C393A9-A01F-4583-B9E7-69FAFFBFB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07E0-7BF1-4C8E-8450-B2BC536000EA}">
  <dimension ref="A1:AE22"/>
  <sheetViews>
    <sheetView tabSelected="1" topLeftCell="M1" zoomScale="145" zoomScaleNormal="145" workbookViewId="0">
      <selection activeCell="R5" sqref="R5"/>
    </sheetView>
  </sheetViews>
  <sheetFormatPr defaultRowHeight="15" x14ac:dyDescent="0.25"/>
  <cols>
    <col min="12" max="12" width="12" bestFit="1" customWidth="1"/>
    <col min="18" max="18" width="9.140625" style="6"/>
  </cols>
  <sheetData>
    <row r="1" spans="1:31" x14ac:dyDescent="0.25">
      <c r="A1" s="7">
        <v>1</v>
      </c>
      <c r="B1" s="8"/>
      <c r="K1" s="2">
        <v>2</v>
      </c>
      <c r="N1" s="7">
        <v>3</v>
      </c>
      <c r="O1" s="8"/>
      <c r="R1" s="2">
        <v>4</v>
      </c>
      <c r="T1" s="7">
        <v>5</v>
      </c>
      <c r="U1" s="8"/>
      <c r="AC1" s="7">
        <v>6</v>
      </c>
      <c r="AD1" s="9"/>
      <c r="AE1" s="8"/>
    </row>
    <row r="2" spans="1:31" x14ac:dyDescent="0.25">
      <c r="A2" s="1">
        <v>20</v>
      </c>
      <c r="B2" s="3">
        <f>_xlfn.NORM.DIST(A2, 30, 3, 0)</f>
        <v>5.140929987637018E-4</v>
      </c>
      <c r="K2" s="3">
        <f>_xlfn.NORM.DIST(42, 40, 1.5, 0)</f>
        <v>0.10934004978399575</v>
      </c>
      <c r="N2" s="1">
        <v>34</v>
      </c>
      <c r="O2" s="3">
        <f>_xlfn.NORM.DIST(N2, 40, 2, 0)</f>
        <v>2.2159242059690038E-3</v>
      </c>
      <c r="R2" s="5">
        <f>_xlfn.NORM.INV(0.09087089, 40, 1.5)</f>
        <v>37.996883103274456</v>
      </c>
      <c r="T2" s="1">
        <v>20</v>
      </c>
      <c r="U2" s="3">
        <f>_xlfn.NORM.DIST(T2, 30, 3, 1)</f>
        <v>4.2906033319683703E-4</v>
      </c>
      <c r="AC2" s="4">
        <v>21</v>
      </c>
      <c r="AD2" s="4">
        <v>20</v>
      </c>
      <c r="AE2" s="4">
        <v>1.5</v>
      </c>
    </row>
    <row r="3" spans="1:31" x14ac:dyDescent="0.25">
      <c r="A3" s="1">
        <v>21</v>
      </c>
      <c r="B3" s="3">
        <f>_xlfn.NORM.DIST(A3, 30, 3, 0)</f>
        <v>1.4772828039793357E-3</v>
      </c>
      <c r="N3" s="1">
        <v>37</v>
      </c>
      <c r="O3" s="3">
        <f t="shared" ref="O3:O6" si="0">_xlfn.NORM.DIST(N3, 40, 2, 0)</f>
        <v>6.4758797832945872E-2</v>
      </c>
      <c r="T3" s="1">
        <v>21</v>
      </c>
      <c r="U3" s="3">
        <f t="shared" ref="U3:U22" si="1">_xlfn.NORM.DIST(T3, 30, 3, 1)</f>
        <v>1.3498980316300933E-3</v>
      </c>
      <c r="AC3" s="10">
        <f>STANDARDIZE(AC2,AD2,AE2)</f>
        <v>0.66666666666666663</v>
      </c>
      <c r="AD3" s="11"/>
      <c r="AE3" s="12"/>
    </row>
    <row r="4" spans="1:31" x14ac:dyDescent="0.25">
      <c r="A4" s="1">
        <v>22</v>
      </c>
      <c r="B4" s="3">
        <f t="shared" ref="B4:B22" si="2">_xlfn.NORM.DIST(A4, 30, 3, 0)</f>
        <v>3.798662007932481E-3</v>
      </c>
      <c r="N4" s="1">
        <v>40</v>
      </c>
      <c r="O4" s="3">
        <f t="shared" si="0"/>
        <v>0.19947114020071635</v>
      </c>
      <c r="T4" s="1">
        <v>22</v>
      </c>
      <c r="U4" s="3">
        <f t="shared" si="1"/>
        <v>3.8303805675897356E-3</v>
      </c>
    </row>
    <row r="5" spans="1:31" x14ac:dyDescent="0.25">
      <c r="A5" s="1">
        <v>23</v>
      </c>
      <c r="B5" s="3">
        <f t="shared" si="2"/>
        <v>8.7406296979031604E-3</v>
      </c>
      <c r="N5" s="1">
        <v>43</v>
      </c>
      <c r="O5" s="3">
        <f t="shared" si="0"/>
        <v>6.4758797832945872E-2</v>
      </c>
      <c r="T5" s="1">
        <v>23</v>
      </c>
      <c r="U5" s="3">
        <f t="shared" si="1"/>
        <v>9.8153286286453353E-3</v>
      </c>
    </row>
    <row r="6" spans="1:31" x14ac:dyDescent="0.25">
      <c r="A6" s="1">
        <v>24</v>
      </c>
      <c r="B6" s="3">
        <f t="shared" si="2"/>
        <v>1.7996988837729353E-2</v>
      </c>
      <c r="N6" s="1">
        <v>46</v>
      </c>
      <c r="O6" s="3">
        <f t="shared" si="0"/>
        <v>2.2159242059690038E-3</v>
      </c>
      <c r="T6" s="1">
        <v>24</v>
      </c>
      <c r="U6" s="3">
        <f t="shared" si="1"/>
        <v>2.2750131948179191E-2</v>
      </c>
    </row>
    <row r="7" spans="1:31" x14ac:dyDescent="0.25">
      <c r="A7" s="1">
        <v>25</v>
      </c>
      <c r="B7" s="3">
        <f t="shared" si="2"/>
        <v>3.3159046264249557E-2</v>
      </c>
      <c r="T7" s="1">
        <v>25</v>
      </c>
      <c r="U7" s="3">
        <f t="shared" si="1"/>
        <v>4.7790352272814703E-2</v>
      </c>
    </row>
    <row r="8" spans="1:31" x14ac:dyDescent="0.25">
      <c r="A8" s="1">
        <v>26</v>
      </c>
      <c r="B8" s="3">
        <f t="shared" si="2"/>
        <v>5.4670024891997876E-2</v>
      </c>
      <c r="T8" s="1">
        <v>26</v>
      </c>
      <c r="U8" s="3">
        <f t="shared" si="1"/>
        <v>9.1211219725867876E-2</v>
      </c>
    </row>
    <row r="9" spans="1:31" x14ac:dyDescent="0.25">
      <c r="A9" s="1">
        <v>27</v>
      </c>
      <c r="B9" s="3">
        <f t="shared" si="2"/>
        <v>8.0656908173047798E-2</v>
      </c>
      <c r="T9" s="1">
        <v>27</v>
      </c>
      <c r="U9" s="3">
        <f t="shared" si="1"/>
        <v>0.15865525393145699</v>
      </c>
    </row>
    <row r="10" spans="1:31" x14ac:dyDescent="0.25">
      <c r="A10" s="1">
        <v>28</v>
      </c>
      <c r="B10" s="3">
        <f t="shared" si="2"/>
        <v>0.10648266850745074</v>
      </c>
      <c r="T10" s="1">
        <v>28</v>
      </c>
      <c r="U10" s="3">
        <f t="shared" si="1"/>
        <v>0.25249253754692291</v>
      </c>
    </row>
    <row r="11" spans="1:31" x14ac:dyDescent="0.25">
      <c r="A11" s="1">
        <v>29</v>
      </c>
      <c r="B11" s="3">
        <f t="shared" si="2"/>
        <v>0.12579440923099772</v>
      </c>
      <c r="T11" s="1">
        <v>29</v>
      </c>
      <c r="U11" s="3">
        <f t="shared" si="1"/>
        <v>0.36944134018176361</v>
      </c>
    </row>
    <row r="12" spans="1:31" x14ac:dyDescent="0.25">
      <c r="A12" s="1">
        <v>30</v>
      </c>
      <c r="B12" s="3">
        <f t="shared" si="2"/>
        <v>0.13298076013381088</v>
      </c>
      <c r="T12" s="1">
        <v>30</v>
      </c>
      <c r="U12" s="3">
        <f t="shared" si="1"/>
        <v>0.5</v>
      </c>
    </row>
    <row r="13" spans="1:31" x14ac:dyDescent="0.25">
      <c r="A13" s="1">
        <v>31</v>
      </c>
      <c r="B13" s="3">
        <f t="shared" si="2"/>
        <v>0.12579440923099772</v>
      </c>
      <c r="T13" s="1">
        <v>31</v>
      </c>
      <c r="U13" s="3">
        <f t="shared" si="1"/>
        <v>0.63055865981823644</v>
      </c>
    </row>
    <row r="14" spans="1:31" x14ac:dyDescent="0.25">
      <c r="A14" s="1">
        <v>32</v>
      </c>
      <c r="B14" s="3">
        <f t="shared" si="2"/>
        <v>0.10648266850745074</v>
      </c>
      <c r="T14" s="1">
        <v>32</v>
      </c>
      <c r="U14" s="3">
        <f t="shared" si="1"/>
        <v>0.74750746245307709</v>
      </c>
    </row>
    <row r="15" spans="1:31" x14ac:dyDescent="0.25">
      <c r="A15" s="1">
        <v>33</v>
      </c>
      <c r="B15" s="3">
        <f t="shared" si="2"/>
        <v>8.0656908173047798E-2</v>
      </c>
      <c r="T15" s="1">
        <v>33</v>
      </c>
      <c r="U15" s="3">
        <f t="shared" si="1"/>
        <v>0.84134474606854304</v>
      </c>
    </row>
    <row r="16" spans="1:31" x14ac:dyDescent="0.25">
      <c r="A16" s="1">
        <v>34</v>
      </c>
      <c r="B16" s="3">
        <f t="shared" si="2"/>
        <v>5.4670024891997876E-2</v>
      </c>
      <c r="T16" s="1">
        <v>34</v>
      </c>
      <c r="U16" s="3">
        <f t="shared" si="1"/>
        <v>0.90878878027413212</v>
      </c>
    </row>
    <row r="17" spans="1:21" x14ac:dyDescent="0.25">
      <c r="A17" s="1">
        <v>35</v>
      </c>
      <c r="B17" s="3">
        <f t="shared" si="2"/>
        <v>3.3159046264249557E-2</v>
      </c>
      <c r="T17" s="1">
        <v>35</v>
      </c>
      <c r="U17" s="3">
        <f t="shared" si="1"/>
        <v>0.9522096477271853</v>
      </c>
    </row>
    <row r="18" spans="1:21" x14ac:dyDescent="0.25">
      <c r="A18" s="1">
        <v>36</v>
      </c>
      <c r="B18" s="3">
        <f t="shared" si="2"/>
        <v>1.7996988837729353E-2</v>
      </c>
      <c r="T18" s="1">
        <v>36</v>
      </c>
      <c r="U18" s="3">
        <f t="shared" si="1"/>
        <v>0.97724986805182079</v>
      </c>
    </row>
    <row r="19" spans="1:21" x14ac:dyDescent="0.25">
      <c r="A19" s="1">
        <v>37</v>
      </c>
      <c r="B19" s="3">
        <f t="shared" si="2"/>
        <v>8.7406296979031604E-3</v>
      </c>
      <c r="T19" s="1">
        <v>37</v>
      </c>
      <c r="U19" s="3">
        <f t="shared" si="1"/>
        <v>0.99018467137135469</v>
      </c>
    </row>
    <row r="20" spans="1:21" x14ac:dyDescent="0.25">
      <c r="A20" s="1">
        <v>38</v>
      </c>
      <c r="B20" s="3">
        <f t="shared" si="2"/>
        <v>3.798662007932481E-3</v>
      </c>
      <c r="T20" s="1">
        <v>38</v>
      </c>
      <c r="U20" s="3">
        <f t="shared" si="1"/>
        <v>0.99616961943241022</v>
      </c>
    </row>
    <row r="21" spans="1:21" x14ac:dyDescent="0.25">
      <c r="A21" s="1">
        <v>39</v>
      </c>
      <c r="B21" s="3">
        <f t="shared" si="2"/>
        <v>1.4772828039793357E-3</v>
      </c>
      <c r="T21" s="1">
        <v>39</v>
      </c>
      <c r="U21" s="3">
        <f t="shared" si="1"/>
        <v>0.9986501019683699</v>
      </c>
    </row>
    <row r="22" spans="1:21" x14ac:dyDescent="0.25">
      <c r="A22" s="1">
        <v>40</v>
      </c>
      <c r="B22" s="3">
        <f t="shared" si="2"/>
        <v>5.140929987637018E-4</v>
      </c>
      <c r="T22" s="1">
        <v>40</v>
      </c>
      <c r="U22" s="3">
        <f t="shared" si="1"/>
        <v>0.99957093966680322</v>
      </c>
    </row>
  </sheetData>
  <mergeCells count="5">
    <mergeCell ref="N1:O1"/>
    <mergeCell ref="A1:B1"/>
    <mergeCell ref="AC1:AE1"/>
    <mergeCell ref="T1:U1"/>
    <mergeCell ref="AC3:A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 GG</dc:creator>
  <cp:lastModifiedBy>User</cp:lastModifiedBy>
  <dcterms:created xsi:type="dcterms:W3CDTF">2026-04-23T07:53:10Z</dcterms:created>
  <dcterms:modified xsi:type="dcterms:W3CDTF">2026-04-23T11:16:53Z</dcterms:modified>
</cp:coreProperties>
</file>