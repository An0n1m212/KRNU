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RNU\MTC\Lab7\"/>
    </mc:Choice>
  </mc:AlternateContent>
  <xr:revisionPtr revIDLastSave="0" documentId="13_ncr:1_{B7DABE16-4906-4031-A607-B7C3EEC10CBA}" xr6:coauthVersionLast="47" xr6:coauthVersionMax="47" xr10:uidLastSave="{00000000-0000-0000-0000-000000000000}"/>
  <bookViews>
    <workbookView xWindow="-120" yWindow="-120" windowWidth="29040" windowHeight="15840" activeTab="5" xr2:uid="{57C252FE-C245-49BC-A5CD-D6E6F3AC1D60}"/>
  </bookViews>
  <sheets>
    <sheet name="1" sheetId="1" r:id="rId1"/>
    <sheet name="2" sheetId="2" r:id="rId2"/>
    <sheet name="3.1" sheetId="3" r:id="rId3"/>
    <sheet name="3.2" sheetId="4" r:id="rId4"/>
    <sheet name="3.3" sheetId="5" r:id="rId5"/>
    <sheet name="3.4" sheetId="6" r:id="rId6"/>
    <sheet name="3.5" sheetId="7" r:id="rId7"/>
    <sheet name="3.7" sheetId="8" r:id="rId8"/>
    <sheet name="3.8" sheetId="9" r:id="rId9"/>
  </sheets>
  <definedNames>
    <definedName name="_xlchart.v1.0" hidden="1">'1'!$A$2:$A$12</definedName>
    <definedName name="_xlchart.v1.1" hidden="1">'1'!$C$2:$C$12</definedName>
    <definedName name="_xlchart.v1.2" hidden="1">'1'!$A$2:$A$12</definedName>
    <definedName name="_xlchart.v1.3" hidden="1">'1'!$C$2:$C$12</definedName>
    <definedName name="_xlchart.v1.4" hidden="1">'3.3'!$A$3</definedName>
    <definedName name="_xlchart.v1.5" hidden="1">'3.3'!$B$1:$H$1</definedName>
    <definedName name="_xlchart.v1.6" hidden="1">'3.3'!$B$3:$H$3</definedName>
    <definedName name="_xlchart.v1.7" hidden="1">'3.4'!$B$1:$G$1</definedName>
    <definedName name="_xlchart.v1.8" hidden="1">'3.4'!$B$3:$G$3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6" l="1"/>
  <c r="F4" i="6"/>
  <c r="E4" i="6"/>
  <c r="D4" i="6"/>
  <c r="C4" i="6"/>
  <c r="B4" i="6"/>
  <c r="G3" i="6"/>
  <c r="F3" i="6"/>
  <c r="E3" i="6"/>
  <c r="D3" i="6"/>
  <c r="C3" i="6"/>
  <c r="B3" i="6"/>
  <c r="H4" i="5"/>
  <c r="G4" i="5"/>
  <c r="F4" i="5"/>
  <c r="E4" i="5"/>
  <c r="D4" i="5"/>
  <c r="C4" i="5"/>
  <c r="B4" i="5"/>
  <c r="C3" i="5"/>
  <c r="D3" i="5"/>
  <c r="E3" i="5"/>
  <c r="F3" i="5"/>
  <c r="G3" i="5"/>
  <c r="H3" i="5"/>
  <c r="B3" i="5"/>
  <c r="H2" i="6"/>
  <c r="I2" i="5"/>
  <c r="D3" i="4"/>
  <c r="E3" i="4"/>
  <c r="F3" i="4" s="1"/>
  <c r="G3" i="4" s="1"/>
  <c r="H3" i="4" s="1"/>
  <c r="C3" i="4"/>
  <c r="B3" i="4"/>
  <c r="I2" i="4"/>
  <c r="G2" i="3"/>
  <c r="C4" i="7"/>
  <c r="C5" i="7"/>
  <c r="C6" i="7"/>
  <c r="C7" i="7"/>
  <c r="C3" i="7"/>
  <c r="C2" i="7"/>
  <c r="B8" i="7"/>
  <c r="C5" i="2"/>
  <c r="D12" i="1"/>
  <c r="D4" i="1"/>
  <c r="D5" i="1"/>
  <c r="D6" i="1" s="1"/>
  <c r="D7" i="1" s="1"/>
  <c r="D8" i="1" s="1"/>
  <c r="D9" i="1" s="1"/>
  <c r="D10" i="1" s="1"/>
  <c r="D11" i="1" s="1"/>
  <c r="D3" i="1"/>
  <c r="D2" i="1"/>
  <c r="C3" i="1"/>
  <c r="C4" i="1"/>
  <c r="C5" i="1"/>
  <c r="C6" i="1"/>
  <c r="C7" i="1"/>
  <c r="C8" i="1"/>
  <c r="C9" i="1"/>
  <c r="C10" i="1"/>
  <c r="C11" i="1"/>
  <c r="C12" i="1"/>
  <c r="B13" i="1"/>
  <c r="C2" i="1"/>
</calcChain>
</file>

<file path=xl/sharedStrings.xml><?xml version="1.0" encoding="utf-8"?>
<sst xmlns="http://schemas.openxmlformats.org/spreadsheetml/2006/main" count="58" uniqueCount="43">
  <si>
    <t>Ріст (xi​)</t>
  </si>
  <si>
    <t>Частота (ni​)</t>
  </si>
  <si>
    <t>Відносна частота (wi​=ni​/n)</t>
  </si>
  <si>
    <t>Накопичена відносна частота (Wi​)</t>
  </si>
  <si>
    <t>Інтервал балів</t>
  </si>
  <si>
    <t>Результати</t>
  </si>
  <si>
    <t>Абсолютна частота (ni​)</t>
  </si>
  <si>
    <t>[70; 80)</t>
  </si>
  <si>
    <t>79, 78</t>
  </si>
  <si>
    <t>[80; 90)</t>
  </si>
  <si>
    <t>85, 85, 83, 81, 88, 85</t>
  </si>
  <si>
    <t>[90; 100]</t>
  </si>
  <si>
    <t>95, 97</t>
  </si>
  <si>
    <t>Разом</t>
  </si>
  <si>
    <t>n</t>
  </si>
  <si>
    <t>Інтервал</t>
  </si>
  <si>
    <t>Накопичена відн. частота (Wi​)</t>
  </si>
  <si>
    <t>[8,4; 10,4)</t>
  </si>
  <si>
    <t>[10,4; 12,4)</t>
  </si>
  <si>
    <t>[12,4; 14,4)</t>
  </si>
  <si>
    <t>[14,4; 16,4)</t>
  </si>
  <si>
    <t>[16,4; 18,4)</t>
  </si>
  <si>
    <t>[18,4; 20,4)</t>
  </si>
  <si>
    <t>xi</t>
  </si>
  <si>
    <t>ni</t>
  </si>
  <si>
    <t>m</t>
  </si>
  <si>
    <t>Границі інтервалів</t>
  </si>
  <si>
    <t>Частота mi</t>
  </si>
  <si>
    <t>10–20</t>
  </si>
  <si>
    <t>20–30</t>
  </si>
  <si>
    <t>30–40</t>
  </si>
  <si>
    <t>40–50</t>
  </si>
  <si>
    <t>50–60</t>
  </si>
  <si>
    <t>60–70</t>
  </si>
  <si>
    <t>70–80</t>
  </si>
  <si>
    <t>5–7</t>
  </si>
  <si>
    <t>7–9</t>
  </si>
  <si>
    <t>9–11</t>
  </si>
  <si>
    <t>11–13</t>
  </si>
  <si>
    <t>13–15</t>
  </si>
  <si>
    <t>15–17</t>
  </si>
  <si>
    <t>Середина інтервалу xi∗​</t>
  </si>
  <si>
    <t>Висота hi​=mi​/10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</si>
</sst>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/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2" borderId="1" xfId="0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Графік</a:t>
            </a:r>
            <a:r>
              <a:rPr lang="uk-UA" baseline="0"/>
              <a:t> в</a:t>
            </a:r>
            <a:r>
              <a:rPr lang="uk-UA"/>
              <a:t>ідносної</a:t>
            </a:r>
            <a:r>
              <a:rPr lang="uk-UA" baseline="0"/>
              <a:t> </a:t>
            </a:r>
            <a:r>
              <a:rPr lang="uk-UA"/>
              <a:t>частоти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'1'!$A$2:$A$12</c:f>
              <c:numCache>
                <c:formatCode>General</c:formatCode>
                <c:ptCount val="11"/>
                <c:pt idx="0">
                  <c:v>167</c:v>
                </c:pt>
                <c:pt idx="1">
                  <c:v>168</c:v>
                </c:pt>
                <c:pt idx="2">
                  <c:v>169</c:v>
                </c:pt>
                <c:pt idx="3">
                  <c:v>171</c:v>
                </c:pt>
                <c:pt idx="4">
                  <c:v>172</c:v>
                </c:pt>
                <c:pt idx="5">
                  <c:v>174</c:v>
                </c:pt>
                <c:pt idx="6">
                  <c:v>176</c:v>
                </c:pt>
                <c:pt idx="7">
                  <c:v>178</c:v>
                </c:pt>
                <c:pt idx="8">
                  <c:v>179</c:v>
                </c:pt>
                <c:pt idx="9">
                  <c:v>181</c:v>
                </c:pt>
                <c:pt idx="10">
                  <c:v>183</c:v>
                </c:pt>
              </c:numCache>
            </c:numRef>
          </c:xVal>
          <c:yVal>
            <c:numRef>
              <c:f>'1'!$C$2:$C$12</c:f>
              <c:numCache>
                <c:formatCode>General</c:formatCode>
                <c:ptCount val="11"/>
                <c:pt idx="0">
                  <c:v>0.05</c:v>
                </c:pt>
                <c:pt idx="1">
                  <c:v>0.05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0.15</c:v>
                </c:pt>
                <c:pt idx="9">
                  <c:v>0.2</c:v>
                </c:pt>
                <c:pt idx="1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D-4B22-83A9-23A47752A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757712"/>
        <c:axId val="916716064"/>
      </c:scatterChart>
      <c:valAx>
        <c:axId val="9817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16716064"/>
        <c:crosses val="autoZero"/>
        <c:crossBetween val="midCat"/>
      </c:valAx>
      <c:valAx>
        <c:axId val="9167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817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Графік накопиченої</a:t>
            </a:r>
            <a:r>
              <a:rPr lang="uk-UA" baseline="0"/>
              <a:t> відносної</a:t>
            </a:r>
            <a:r>
              <a:rPr lang="uk-UA"/>
              <a:t> частоти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'1'!$A$2:$A$12</c:f>
              <c:numCache>
                <c:formatCode>General</c:formatCode>
                <c:ptCount val="11"/>
                <c:pt idx="0">
                  <c:v>167</c:v>
                </c:pt>
                <c:pt idx="1">
                  <c:v>168</c:v>
                </c:pt>
                <c:pt idx="2">
                  <c:v>169</c:v>
                </c:pt>
                <c:pt idx="3">
                  <c:v>171</c:v>
                </c:pt>
                <c:pt idx="4">
                  <c:v>172</c:v>
                </c:pt>
                <c:pt idx="5">
                  <c:v>174</c:v>
                </c:pt>
                <c:pt idx="6">
                  <c:v>176</c:v>
                </c:pt>
                <c:pt idx="7">
                  <c:v>178</c:v>
                </c:pt>
                <c:pt idx="8">
                  <c:v>179</c:v>
                </c:pt>
                <c:pt idx="9">
                  <c:v>181</c:v>
                </c:pt>
                <c:pt idx="10">
                  <c:v>183</c:v>
                </c:pt>
              </c:numCache>
            </c:numRef>
          </c:xVal>
          <c:yVal>
            <c:numRef>
              <c:f>'1'!$D$2:$D$12</c:f>
              <c:numCache>
                <c:formatCode>General</c:formatCode>
                <c:ptCount val="11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0.6</c:v>
                </c:pt>
                <c:pt idx="8">
                  <c:v>0.75</c:v>
                </c:pt>
                <c:pt idx="9">
                  <c:v>0.95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0-4C25-B054-4F9E39BC2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447808"/>
        <c:axId val="990443232"/>
      </c:scatterChart>
      <c:valAx>
        <c:axId val="99044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0443232"/>
        <c:crosses val="autoZero"/>
        <c:crossBetween val="midCat"/>
      </c:valAx>
      <c:valAx>
        <c:axId val="990443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044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Графік</a:t>
            </a:r>
            <a:r>
              <a:rPr lang="uk-UA" baseline="0"/>
              <a:t> абсолютної частоти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'2'!$A$2:$A$4</c:f>
              <c:strCache>
                <c:ptCount val="3"/>
                <c:pt idx="0">
                  <c:v>[70; 80)</c:v>
                </c:pt>
                <c:pt idx="1">
                  <c:v>[80; 90)</c:v>
                </c:pt>
                <c:pt idx="2">
                  <c:v>[90; 100]</c:v>
                </c:pt>
              </c:strCache>
            </c:strRef>
          </c:xVal>
          <c:yVal>
            <c:numRef>
              <c:f>'2'!$C$2:$C$4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D-4471-9836-AE0087488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052896"/>
        <c:axId val="998053728"/>
      </c:scatterChart>
      <c:valAx>
        <c:axId val="998052896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8053728"/>
        <c:crosses val="autoZero"/>
        <c:crossBetween val="midCat"/>
      </c:valAx>
      <c:valAx>
        <c:axId val="9980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805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Полігон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6.3803149606299209E-2"/>
          <c:y val="0.19486111111111112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'3.3'!$A$2</c:f>
              <c:strCache>
                <c:ptCount val="1"/>
                <c:pt idx="0">
                  <c:v>Частота 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'3.3'!$B$4:$H$4</c:f>
              <c:numCache>
                <c:formatCode>General</c:formatCode>
                <c:ptCount val="7"/>
                <c:pt idx="0">
                  <c:v>15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65</c:v>
                </c:pt>
                <c:pt idx="6">
                  <c:v>75</c:v>
                </c:pt>
              </c:numCache>
            </c:numRef>
          </c:cat>
          <c:val>
            <c:numRef>
              <c:f>'3.3'!$B$2:$H$2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18</c:v>
                </c:pt>
                <c:pt idx="4">
                  <c:v>12</c:v>
                </c:pt>
                <c:pt idx="5">
                  <c:v>8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8-4DCE-9512-D300DE3048E3}"/>
            </c:ext>
          </c:extLst>
        </c:ser>
        <c:ser>
          <c:idx val="1"/>
          <c:order val="1"/>
          <c:tx>
            <c:strRef>
              <c:f>'3.3'!$A$4</c:f>
              <c:strCache>
                <c:ptCount val="1"/>
                <c:pt idx="0">
                  <c:v>Середина інтервалу xi∗​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'3.3'!$B$4:$H$4</c:f>
              <c:numCache>
                <c:formatCode>General</c:formatCode>
                <c:ptCount val="7"/>
                <c:pt idx="0">
                  <c:v>15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65</c:v>
                </c:pt>
                <c:pt idx="6">
                  <c:v>75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D88-4DCE-9512-D300DE304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611952"/>
        <c:axId val="849614864"/>
      </c:lineChart>
      <c:catAx>
        <c:axId val="84961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9614864"/>
        <c:crosses val="autoZero"/>
        <c:auto val="1"/>
        <c:lblAlgn val="ctr"/>
        <c:lblOffset val="100"/>
        <c:noMultiLvlLbl val="0"/>
      </c:catAx>
      <c:valAx>
        <c:axId val="84961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961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Полігон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'3.4'!$A$2</c:f>
              <c:strCache>
                <c:ptCount val="1"/>
                <c:pt idx="0">
                  <c:v>Частота 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'3.4'!$B$4:$G$4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</c:numCache>
            </c:numRef>
          </c:cat>
          <c:val>
            <c:numRef>
              <c:f>'3.4'!$B$2:$G$2</c:f>
              <c:numCache>
                <c:formatCode>General</c:formatCode>
                <c:ptCount val="6"/>
                <c:pt idx="0">
                  <c:v>8</c:v>
                </c:pt>
                <c:pt idx="1">
                  <c:v>14</c:v>
                </c:pt>
                <c:pt idx="2">
                  <c:v>40</c:v>
                </c:pt>
                <c:pt idx="3">
                  <c:v>26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F-41E7-85A0-594E2B05C42C}"/>
            </c:ext>
          </c:extLst>
        </c:ser>
        <c:ser>
          <c:idx val="1"/>
          <c:order val="1"/>
          <c:tx>
            <c:strRef>
              <c:f>'3.4'!$A$4</c:f>
              <c:strCache>
                <c:ptCount val="1"/>
                <c:pt idx="0">
                  <c:v>Середина інтервалу xi∗​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'3.4'!$B$4:$G$4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FAF-41E7-85A0-594E2B05C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068464"/>
        <c:axId val="838069296"/>
      </c:lineChart>
      <c:catAx>
        <c:axId val="83806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38069296"/>
        <c:crosses val="autoZero"/>
        <c:auto val="1"/>
        <c:lblAlgn val="ctr"/>
        <c:lblOffset val="100"/>
        <c:noMultiLvlLbl val="0"/>
      </c:catAx>
      <c:valAx>
        <c:axId val="8380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3806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Полігон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'3.7'!$B$1:$E$1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</c:numCache>
            </c:numRef>
          </c:xVal>
          <c:yVal>
            <c:numRef>
              <c:f>'3.7'!$B$2:$E$2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5</c:v>
                </c:pt>
                <c:pt idx="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F-492C-BD13-FCDAC599E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127792"/>
        <c:axId val="833128208"/>
      </c:scatterChart>
      <c:valAx>
        <c:axId val="833127792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33128208"/>
        <c:crosses val="autoZero"/>
        <c:crossBetween val="midCat"/>
      </c:valAx>
      <c:valAx>
        <c:axId val="8331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3312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Полігон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'3.8'!$B$1:$F$1</c:f>
              <c:numCache>
                <c:formatCode>General</c:formatCod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'3.8'!$B$2:$F$2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30</c:v>
                </c:pt>
                <c:pt idx="3">
                  <c:v>20</c:v>
                </c:pt>
                <c:pt idx="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A-47C4-9DC6-6DF892097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165168"/>
        <c:axId val="905161008"/>
      </c:scatterChart>
      <c:valAx>
        <c:axId val="905165168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05161008"/>
        <c:crosses val="autoZero"/>
        <c:crossBetween val="midCat"/>
      </c:valAx>
      <c:valAx>
        <c:axId val="9051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0516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_xlchart.v1.5</cx:f>
      </cx:strDim>
      <cx:numDim type="val">
        <cx:f dir="row">_xlchart.v1.6</cx:f>
      </cx:numDim>
    </cx:data>
  </cx:chartData>
  <cx:chart>
    <cx:title pos="t" align="ctr" overlay="0">
      <cx:tx>
        <cx:txData>
          <cx:v>Гістограма частот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uk-UA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Гістограма частот</a:t>
          </a:r>
        </a:p>
      </cx:txPr>
    </cx:title>
    <cx:plotArea>
      <cx:plotAreaRegion>
        <cx:series layoutId="clusteredColumn" uniqueId="{3C4DA730-952E-492A-BDEF-9C285CB99E76}">
          <cx:tx>
            <cx:txData>
              <cx:f>_xlchart.v1.4</cx:f>
              <cx:v>Висота hi​=mi​/10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</cx:f>
      </cx:strDim>
      <cx:numDim type="val">
        <cx:f dir="row">_xlchart.v1.8</cx:f>
      </cx:numDim>
    </cx:data>
  </cx:chartData>
  <cx:chart>
    <cx:title pos="t" align="ctr" overlay="0">
      <cx:tx>
        <cx:txData>
          <cx:v>Гістограма частот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uk-UA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Гістограма частот</a:t>
          </a:r>
        </a:p>
      </cx:txPr>
    </cx:title>
    <cx:plotArea>
      <cx:plotAreaRegion>
        <cx:series layoutId="clusteredColumn" uniqueId="{BCD5B5FB-AB45-4E22-B85D-866C7D0B5214}"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3</xdr:row>
      <xdr:rowOff>47625</xdr:rowOff>
    </xdr:from>
    <xdr:to>
      <xdr:col>13</xdr:col>
      <xdr:colOff>323850</xdr:colOff>
      <xdr:row>17</xdr:row>
      <xdr:rowOff>123825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E6818FCC-8023-472B-BDEC-2E503208E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18</xdr:row>
      <xdr:rowOff>76200</xdr:rowOff>
    </xdr:from>
    <xdr:to>
      <xdr:col>13</xdr:col>
      <xdr:colOff>323850</xdr:colOff>
      <xdr:row>32</xdr:row>
      <xdr:rowOff>152400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BDB2544E-DF07-4B44-BB23-FA1627463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4762</xdr:rowOff>
    </xdr:from>
    <xdr:to>
      <xdr:col>6</xdr:col>
      <xdr:colOff>409575</xdr:colOff>
      <xdr:row>20</xdr:row>
      <xdr:rowOff>80962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D88E9072-DF31-45D6-B5D9-24872AAA7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157162</xdr:rowOff>
    </xdr:from>
    <xdr:ext cx="3019424" cy="24885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31FE6C-D28B-44D5-AA3D-0ED7A71847B3}"/>
                </a:ext>
              </a:extLst>
            </xdr:cNvPr>
            <xdr:cNvSpPr txBox="1"/>
          </xdr:nvSpPr>
          <xdr:spPr>
            <a:xfrm>
              <a:off x="247650" y="538162"/>
              <a:ext cx="3019424" cy="2488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Sup>
                      <m:sSubSupPr>
                        <m:ctrlPr>
                          <a:rPr lang="uk-UA" sz="16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d>
                          <m:dPr>
                            <m:ctrlPr>
                              <a:rPr lang="uk-UA" sz="16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uk-UA" sz="16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sub>
                      <m:sup>
                        <m:r>
                          <a:rPr lang="uk-UA" sz="1600" i="0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bSup>
                    <m:r>
                      <a:rPr lang="uk-UA" sz="160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uk-UA" sz="16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uk-UA" sz="16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mPr>
                          <m:mr>
                            <m:e>
                              <m: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0</m:t>
                              </m:r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m:rPr>
                                  <m:sty m:val="p"/>
                                </m:rP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x</m:t>
                              </m:r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≤1</m:t>
                              </m:r>
                              <m:r>
                                <a:rPr lang="en-US" sz="16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5</m:t>
                              </m:r>
                            </m:e>
                          </m:mr>
                          <m:mr>
                            <m:e>
                              <m:f>
                                <m:fPr>
                                  <m:ctrlPr>
                                    <a:rPr lang="uk-UA" sz="16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</m:t>
                                  </m:r>
                                </m:num>
                                <m:den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16</m:t>
                                  </m:r>
                                </m:den>
                              </m:f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15</m:t>
                              </m:r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&lt;</m:t>
                              </m:r>
                              <m:r>
                                <m:rPr>
                                  <m:sty m:val="p"/>
                                </m:rP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x</m:t>
                              </m:r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≤16</m:t>
                              </m:r>
                            </m:e>
                          </m:mr>
                          <m:mr>
                            <m:e>
                              <m:eqArr>
                                <m:eqArrPr>
                                  <m:ctrlPr>
                                    <a:rPr lang="uk-UA" sz="16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eqArrPr>
                                <m:e>
                                  <m:f>
                                    <m:fPr>
                                      <m:ctrlPr>
                                        <a:rPr lang="uk-UA" sz="16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fPr>
                                    <m:num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5</m:t>
                                      </m:r>
                                    </m:num>
                                    <m:den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16</m:t>
                                      </m:r>
                                    </m:den>
                                  </m:f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16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&lt;</m:t>
                                  </m:r>
                                  <m:r>
                                    <m:rPr>
                                      <m:sty m:val="p"/>
                                    </m:rP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x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≤1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7</m:t>
                                  </m:r>
                                </m:e>
                                <m:e>
                                  <m:f>
                                    <m:fPr>
                                      <m:ctrlPr>
                                        <a:rPr lang="uk-UA" sz="16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fPr>
                                    <m:num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10</m:t>
                                      </m:r>
                                    </m:num>
                                    <m:den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16</m:t>
                                      </m:r>
                                    </m:den>
                                  </m:f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17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&lt;</m:t>
                                  </m:r>
                                  <m:r>
                                    <m:rPr>
                                      <m:sty m:val="p"/>
                                    </m:rP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x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≤1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8</m:t>
                                  </m:r>
                                </m:e>
                                <m:e>
                                  <m:f>
                                    <m:fPr>
                                      <m:ctrlPr>
                                        <a:rPr lang="uk-UA" sz="16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fPr>
                                    <m:num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14</m:t>
                                      </m:r>
                                    </m:num>
                                    <m:den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16</m:t>
                                      </m:r>
                                    </m:den>
                                  </m:f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18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&lt;</m:t>
                                  </m:r>
                                  <m:r>
                                    <m:rPr>
                                      <m:sty m:val="p"/>
                                    </m:rP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x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≤1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9</m:t>
                                  </m:r>
                                </m:e>
                                <m:e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 </m:t>
                                  </m:r>
                                  <m:r>
                                    <m:rPr>
                                      <m:sty m:val="p"/>
                                    </m:rP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x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&gt;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19</m:t>
                                  </m:r>
                                </m:e>
                              </m:eqArr>
                            </m:e>
                          </m:mr>
                        </m:m>
                      </m:e>
                    </m:d>
                  </m:oMath>
                </m:oMathPara>
              </a14:m>
              <a:endParaRPr lang="uk-UA" sz="16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31FE6C-D28B-44D5-AA3D-0ED7A71847B3}"/>
                </a:ext>
              </a:extLst>
            </xdr:cNvPr>
            <xdr:cNvSpPr txBox="1"/>
          </xdr:nvSpPr>
          <xdr:spPr>
            <a:xfrm>
              <a:off x="247650" y="538162"/>
              <a:ext cx="3019424" cy="2488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𝐹</a:t>
              </a:r>
              <a:r>
                <a:rPr lang="uk-UA" sz="16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uk-UA" sz="1600" i="0">
                  <a:latin typeface="Cambria Math" panose="02040503050406030204" pitchFamily="18" charset="0"/>
                </a:rPr>
                <a:t>𝑥)</a:t>
              </a:r>
              <a:r>
                <a:rPr lang="uk-UA" sz="16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uk-UA" sz="1600" i="0">
                  <a:latin typeface="Cambria Math" panose="02040503050406030204" pitchFamily="18" charset="0"/>
                </a:rPr>
                <a:t>∗=</a:t>
              </a:r>
              <a:r>
                <a:rPr lang="uk-UA" sz="16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{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■(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≤1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@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16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15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&lt;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≤16@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█(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16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16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&lt;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≤1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7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@10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16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&lt;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≤1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8@14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16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&lt;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≤1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9@1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&gt;19)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</a:t>
              </a:r>
              <a:endParaRPr lang="uk-UA" sz="16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4</xdr:row>
      <xdr:rowOff>28575</xdr:rowOff>
    </xdr:from>
    <xdr:ext cx="3019424" cy="34690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EE0FCA-8363-47AF-9A9A-DCAF77CCB640}"/>
                </a:ext>
              </a:extLst>
            </xdr:cNvPr>
            <xdr:cNvSpPr txBox="1"/>
          </xdr:nvSpPr>
          <xdr:spPr>
            <a:xfrm>
              <a:off x="133350" y="790575"/>
              <a:ext cx="3019424" cy="3469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Sup>
                      <m:sSubSupPr>
                        <m:ctrlPr>
                          <a:rPr lang="uk-UA" sz="16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d>
                          <m:dPr>
                            <m:ctrlPr>
                              <a:rPr lang="uk-UA" sz="16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uk-UA" sz="16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sub>
                      <m:sup>
                        <m:r>
                          <a:rPr lang="uk-UA" sz="1600" i="0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bSup>
                    <m:r>
                      <a:rPr lang="uk-UA" sz="160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uk-UA" sz="16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uk-UA" sz="16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mPr>
                          <m:mr>
                            <m:e>
                              <m: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0</m:t>
                              </m:r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m:rPr>
                                  <m:sty m:val="p"/>
                                </m:rP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x</m:t>
                              </m:r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≤</m:t>
                              </m:r>
                              <m:r>
                                <a:rPr lang="en-US" sz="16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e>
                          </m:mr>
                          <m:mr>
                            <m:e>
                              <m:f>
                                <m:fPr>
                                  <m:ctrlPr>
                                    <a:rPr lang="uk-UA" sz="16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</m:t>
                                  </m:r>
                                </m:num>
                                <m:den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22</m:t>
                                  </m:r>
                                </m:den>
                              </m:f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&lt;</m:t>
                              </m:r>
                              <m:r>
                                <m:rPr>
                                  <m:sty m:val="p"/>
                                </m:rPr>
                                <a:rPr lang="en-US" sz="16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x</m:t>
                              </m:r>
                              <m:r>
                                <a:rPr lang="uk-UA" sz="16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≤</m:t>
                              </m:r>
                              <m:r>
                                <a:rPr lang="en-US" sz="16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3</m:t>
                              </m:r>
                            </m:e>
                          </m:mr>
                          <m:mr>
                            <m:e>
                              <m:eqArr>
                                <m:eqArrPr>
                                  <m:ctrlPr>
                                    <a:rPr lang="uk-UA" sz="16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eqArrPr>
                                <m:e>
                                  <m:f>
                                    <m:fPr>
                                      <m:ctrlPr>
                                        <a:rPr lang="uk-UA" sz="16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fPr>
                                    <m:num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4</m:t>
                                      </m:r>
                                    </m:num>
                                    <m:den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22</m:t>
                                      </m:r>
                                    </m:den>
                                  </m:f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3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&lt;</m:t>
                                  </m:r>
                                  <m:r>
                                    <m:rPr>
                                      <m:sty m:val="p"/>
                                    </m:rP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x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≤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4</m:t>
                                  </m:r>
                                </m:e>
                                <m:e>
                                  <m:f>
                                    <m:fPr>
                                      <m:ctrlPr>
                                        <a:rPr lang="uk-UA" sz="16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fPr>
                                    <m:num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8</m:t>
                                      </m:r>
                                    </m:num>
                                    <m:den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22</m:t>
                                      </m:r>
                                    </m:den>
                                  </m:f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4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&lt;</m:t>
                                  </m:r>
                                  <m:r>
                                    <m:rPr>
                                      <m:sty m:val="p"/>
                                    </m:rP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x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≤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5</m:t>
                                  </m:r>
                                </m:e>
                                <m:e>
                                  <m:f>
                                    <m:fPr>
                                      <m:ctrlPr>
                                        <a:rPr lang="uk-UA" sz="16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fPr>
                                    <m:num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14</m:t>
                                      </m:r>
                                    </m:num>
                                    <m:den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22</m:t>
                                      </m:r>
                                    </m:den>
                                  </m:f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5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&lt;</m:t>
                                  </m:r>
                                  <m:r>
                                    <m:rPr>
                                      <m:sty m:val="p"/>
                                    </m:rP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x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≤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6</m:t>
                                  </m:r>
                                </m:e>
                                <m:e>
                                  <m:f>
                                    <m:fPr>
                                      <m:ctrlP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fPr>
                                    <m:num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19</m:t>
                                      </m:r>
                                    </m:num>
                                    <m:den>
                                      <m:r>
                                        <a:rPr lang="en-US" sz="16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22</m:t>
                                      </m:r>
                                    </m:den>
                                  </m:f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,6&lt;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≤7</m:t>
                                  </m:r>
                                </m:e>
                                <m:e>
                                  <m:f>
                                    <m:fPr>
                                      <m:ctrlPr>
                                        <a:rPr kumimoji="0" lang="uk-UA" sz="1600" b="0" i="1" u="none" strike="noStrike" kern="0" cap="none" spc="0" normalizeH="0" baseline="0" noProof="0">
                                          <a:ln>
                                            <a:noFill/>
                                          </a:ln>
                                          <a:solidFill>
                                            <a:prstClr val="black"/>
                                          </a:solidFill>
                                          <a:effectLst/>
                                          <a:uLnTx/>
                                          <a:uFillTx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fPr>
                                    <m:num>
                                      <m:r>
                                        <a:rPr kumimoji="0" lang="en-US" sz="1600" b="0" i="1" u="none" strike="noStrike" kern="0" cap="none" spc="0" normalizeH="0" baseline="0" noProof="0">
                                          <a:ln>
                                            <a:noFill/>
                                          </a:ln>
                                          <a:solidFill>
                                            <a:prstClr val="black"/>
                                          </a:solidFill>
                                          <a:effectLst/>
                                          <a:uLnTx/>
                                          <a:uFillTx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21</m:t>
                                      </m:r>
                                    </m:num>
                                    <m:den>
                                      <m:r>
                                        <a:rPr kumimoji="0" lang="en-US" sz="1600" b="0" i="1" u="none" strike="noStrike" kern="0" cap="none" spc="0" normalizeH="0" baseline="0" noProof="0">
                                          <a:ln>
                                            <a:noFill/>
                                          </a:ln>
                                          <a:solidFill>
                                            <a:prstClr val="black"/>
                                          </a:solidFill>
                                          <a:effectLst/>
                                          <a:uLnTx/>
                                          <a:uFillTx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22</m:t>
                                      </m:r>
                                    </m:den>
                                  </m:f>
                                  <m:r>
                                    <a:rPr kumimoji="0" lang="uk-UA" sz="1600" b="0" i="0" u="none" strike="noStrike" kern="0" cap="none" spc="0" normalizeH="0" baseline="0" noProof="0">
                                      <a:ln>
                                        <a:noFill/>
                                      </a:ln>
                                      <a:solidFill>
                                        <a:prstClr val="black"/>
                                      </a:solidFill>
                                      <a:effectLst/>
                                      <a:uLnTx/>
                                      <a:uFillTx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kumimoji="0" lang="en-US" sz="1600" b="0" i="0" u="none" strike="noStrike" kern="0" cap="none" spc="0" normalizeH="0" baseline="0" noProof="0">
                                      <a:ln>
                                        <a:noFill/>
                                      </a:ln>
                                      <a:solidFill>
                                        <a:prstClr val="black"/>
                                      </a:solidFill>
                                      <a:effectLst/>
                                      <a:uLnTx/>
                                      <a:uFillTx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7</m:t>
                                  </m:r>
                                  <m:r>
                                    <a:rPr kumimoji="0" lang="uk-UA" sz="1600" b="0" i="0" u="none" strike="noStrike" kern="0" cap="none" spc="0" normalizeH="0" baseline="0" noProof="0">
                                      <a:ln>
                                        <a:noFill/>
                                      </a:ln>
                                      <a:solidFill>
                                        <a:prstClr val="black"/>
                                      </a:solidFill>
                                      <a:effectLst/>
                                      <a:uLnTx/>
                                      <a:uFillTx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&lt;</m:t>
                                  </m:r>
                                  <m:r>
                                    <m:rPr>
                                      <m:sty m:val="p"/>
                                    </m:rPr>
                                    <a:rPr kumimoji="0" lang="en-US" sz="1600" b="0" i="0" u="none" strike="noStrike" kern="0" cap="none" spc="0" normalizeH="0" baseline="0" noProof="0">
                                      <a:ln>
                                        <a:noFill/>
                                      </a:ln>
                                      <a:solidFill>
                                        <a:prstClr val="black"/>
                                      </a:solidFill>
                                      <a:effectLst/>
                                      <a:uLnTx/>
                                      <a:uFillTx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x</m:t>
                                  </m:r>
                                  <m:r>
                                    <a:rPr kumimoji="0" lang="uk-UA" sz="1600" b="0" i="0" u="none" strike="noStrike" kern="0" cap="none" spc="0" normalizeH="0" baseline="0" noProof="0">
                                      <a:ln>
                                        <a:noFill/>
                                      </a:ln>
                                      <a:solidFill>
                                        <a:prstClr val="black"/>
                                      </a:solidFill>
                                      <a:effectLst/>
                                      <a:uLnTx/>
                                      <a:uFillTx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≤</m:t>
                                  </m:r>
                                  <m:r>
                                    <a:rPr kumimoji="0" lang="en-US" sz="1600" b="0" i="1" u="none" strike="noStrike" kern="0" cap="none" spc="0" normalizeH="0" baseline="0" noProof="0">
                                      <a:ln>
                                        <a:noFill/>
                                      </a:ln>
                                      <a:solidFill>
                                        <a:prstClr val="black"/>
                                      </a:solidFill>
                                      <a:effectLst/>
                                      <a:uLnTx/>
                                      <a:uFillTx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8</m:t>
                                  </m:r>
                                </m:e>
                                <m:e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</m:t>
                                  </m:r>
                                  <m:r>
                                    <a:rPr lang="uk-UA" sz="160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,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 </m:t>
                                  </m:r>
                                  <m:r>
                                    <m:rPr>
                                      <m:sty m:val="p"/>
                                    </m:rP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x</m:t>
                                  </m:r>
                                  <m:r>
                                    <a:rPr lang="en-US" sz="16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&gt;</m:t>
                                  </m:r>
                                  <m:r>
                                    <a:rPr lang="en-US" sz="16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8</m:t>
                                  </m:r>
                                </m:e>
                              </m:eqArr>
                            </m:e>
                          </m:mr>
                        </m:m>
                      </m:e>
                    </m:d>
                  </m:oMath>
                </m:oMathPara>
              </a14:m>
              <a:endParaRPr lang="uk-UA" sz="16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EE0FCA-8363-47AF-9A9A-DCAF77CCB640}"/>
                </a:ext>
              </a:extLst>
            </xdr:cNvPr>
            <xdr:cNvSpPr txBox="1"/>
          </xdr:nvSpPr>
          <xdr:spPr>
            <a:xfrm>
              <a:off x="133350" y="790575"/>
              <a:ext cx="3019424" cy="3469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𝐹</a:t>
              </a:r>
              <a:r>
                <a:rPr lang="uk-UA" sz="16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uk-UA" sz="1600" i="0">
                  <a:latin typeface="Cambria Math" panose="02040503050406030204" pitchFamily="18" charset="0"/>
                </a:rPr>
                <a:t>𝑥)</a:t>
              </a:r>
              <a:r>
                <a:rPr lang="uk-UA" sz="16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uk-UA" sz="1600" i="0">
                  <a:latin typeface="Cambria Math" panose="02040503050406030204" pitchFamily="18" charset="0"/>
                </a:rPr>
                <a:t>∗=</a:t>
              </a:r>
              <a:r>
                <a:rPr lang="uk-UA" sz="16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{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■(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@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22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&lt;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@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█(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22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&lt;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4@8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22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&lt;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5@14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22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&lt;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6@19/22,6&lt;𝑥≤7@</a:t>
              </a:r>
              <a:r>
                <a:rPr kumimoji="0" lang="en-US" sz="16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21</a:t>
              </a:r>
              <a:r>
                <a:rPr kumimoji="0" lang="uk-UA" sz="16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kumimoji="0" lang="en-US" sz="16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22</a:t>
              </a:r>
              <a:r>
                <a:rPr kumimoji="0" lang="uk-UA" sz="16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kumimoji="0" lang="en-US" sz="16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kumimoji="0" lang="uk-UA" sz="16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&lt;</a:t>
              </a:r>
              <a:r>
                <a:rPr kumimoji="0" lang="en-US" sz="16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x</a:t>
              </a:r>
              <a:r>
                <a:rPr kumimoji="0" lang="uk-UA" sz="16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≤</a:t>
              </a:r>
              <a:r>
                <a:rPr kumimoji="0" lang="en-US" sz="16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8</a:t>
              </a:r>
              <a:r>
                <a:rPr kumimoji="0" lang="en-US" sz="1600" b="0" i="0" u="none" strike="noStrike" kern="0" cap="none" spc="0" normalizeH="0" baseline="0" noProof="0">
                  <a:ln>
                    <a:noFill/>
                  </a:ln>
                  <a:solidFill>
                    <a:schemeClr val="tx1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uk-UA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&gt;8)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uk-UA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</a:t>
              </a:r>
              <a:endParaRPr lang="uk-UA" sz="16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10</xdr:row>
      <xdr:rowOff>80962</xdr:rowOff>
    </xdr:from>
    <xdr:to>
      <xdr:col>7</xdr:col>
      <xdr:colOff>457200</xdr:colOff>
      <xdr:row>24</xdr:row>
      <xdr:rowOff>157162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CBF51D9E-EA5E-4297-9133-DF1D19947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10</xdr:row>
      <xdr:rowOff>90487</xdr:rowOff>
    </xdr:from>
    <xdr:to>
      <xdr:col>15</xdr:col>
      <xdr:colOff>447675</xdr:colOff>
      <xdr:row>24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іаграма 3">
              <a:extLst>
                <a:ext uri="{FF2B5EF4-FFF2-40B4-BE49-F238E27FC236}">
                  <a16:creationId xmlns:a16="http://schemas.microsoft.com/office/drawing/2014/main" id="{2D747A16-B794-4640-8C08-34209A52A2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100" y="2767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7</xdr:row>
      <xdr:rowOff>14287</xdr:rowOff>
    </xdr:from>
    <xdr:to>
      <xdr:col>7</xdr:col>
      <xdr:colOff>57150</xdr:colOff>
      <xdr:row>21</xdr:row>
      <xdr:rowOff>90487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44738B1C-08F9-47B3-B232-8E11EE055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7</xdr:row>
      <xdr:rowOff>4762</xdr:rowOff>
    </xdr:from>
    <xdr:to>
      <xdr:col>15</xdr:col>
      <xdr:colOff>9525</xdr:colOff>
      <xdr:row>21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іаграма 2">
              <a:extLst>
                <a:ext uri="{FF2B5EF4-FFF2-40B4-BE49-F238E27FC236}">
                  <a16:creationId xmlns:a16="http://schemas.microsoft.com/office/drawing/2014/main" id="{4C096885-C731-4192-B025-9DC9D10D5E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5850" y="1909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</xdr:row>
      <xdr:rowOff>71437</xdr:rowOff>
    </xdr:from>
    <xdr:to>
      <xdr:col>7</xdr:col>
      <xdr:colOff>400050</xdr:colOff>
      <xdr:row>18</xdr:row>
      <xdr:rowOff>147637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4E1FB8BD-EFB1-4553-9569-B727F842E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3</xdr:row>
      <xdr:rowOff>166687</xdr:rowOff>
    </xdr:from>
    <xdr:to>
      <xdr:col>8</xdr:col>
      <xdr:colOff>19050</xdr:colOff>
      <xdr:row>18</xdr:row>
      <xdr:rowOff>52387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5316361F-5507-43B0-BFFE-1CAB67FDB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BDFE-716D-4538-A4A3-8FE31B4706B9}">
  <dimension ref="A1:D13"/>
  <sheetViews>
    <sheetView workbookViewId="0">
      <selection activeCell="C1" sqref="C1"/>
    </sheetView>
  </sheetViews>
  <sheetFormatPr defaultRowHeight="15" x14ac:dyDescent="0.25"/>
  <cols>
    <col min="3" max="3" width="12.140625" bestFit="1" customWidth="1"/>
    <col min="4" max="4" width="16" customWidth="1"/>
  </cols>
  <sheetData>
    <row r="1" spans="1:4" ht="38.2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3">
        <v>167</v>
      </c>
      <c r="B2" s="3">
        <v>1</v>
      </c>
      <c r="C2" s="3">
        <f>B2/$B$13</f>
        <v>0.05</v>
      </c>
      <c r="D2" s="3">
        <f>0+C2</f>
        <v>0.05</v>
      </c>
    </row>
    <row r="3" spans="1:4" x14ac:dyDescent="0.25">
      <c r="A3" s="3">
        <v>168</v>
      </c>
      <c r="B3" s="3">
        <v>1</v>
      </c>
      <c r="C3" s="3">
        <f t="shared" ref="C3:C12" si="0">B3/$B$13</f>
        <v>0.05</v>
      </c>
      <c r="D3" s="3">
        <f>D2+C3</f>
        <v>0.1</v>
      </c>
    </row>
    <row r="4" spans="1:4" x14ac:dyDescent="0.25">
      <c r="A4" s="3">
        <v>169</v>
      </c>
      <c r="B4" s="3">
        <v>2</v>
      </c>
      <c r="C4" s="3">
        <f t="shared" si="0"/>
        <v>0.1</v>
      </c>
      <c r="D4" s="3">
        <f t="shared" ref="D4:D12" si="1">D3+C4</f>
        <v>0.2</v>
      </c>
    </row>
    <row r="5" spans="1:4" x14ac:dyDescent="0.25">
      <c r="A5" s="3">
        <v>171</v>
      </c>
      <c r="B5" s="3">
        <v>2</v>
      </c>
      <c r="C5" s="3">
        <f t="shared" si="0"/>
        <v>0.1</v>
      </c>
      <c r="D5" s="3">
        <f t="shared" si="1"/>
        <v>0.30000000000000004</v>
      </c>
    </row>
    <row r="6" spans="1:4" x14ac:dyDescent="0.25">
      <c r="A6" s="3">
        <v>172</v>
      </c>
      <c r="B6" s="3">
        <v>2</v>
      </c>
      <c r="C6" s="3">
        <f t="shared" si="0"/>
        <v>0.1</v>
      </c>
      <c r="D6" s="3">
        <f t="shared" si="1"/>
        <v>0.4</v>
      </c>
    </row>
    <row r="7" spans="1:4" x14ac:dyDescent="0.25">
      <c r="A7" s="3">
        <v>174</v>
      </c>
      <c r="B7" s="3">
        <v>1</v>
      </c>
      <c r="C7" s="3">
        <f t="shared" si="0"/>
        <v>0.05</v>
      </c>
      <c r="D7" s="3">
        <f t="shared" si="1"/>
        <v>0.45</v>
      </c>
    </row>
    <row r="8" spans="1:4" x14ac:dyDescent="0.25">
      <c r="A8" s="3">
        <v>176</v>
      </c>
      <c r="B8" s="3">
        <v>1</v>
      </c>
      <c r="C8" s="3">
        <f t="shared" si="0"/>
        <v>0.05</v>
      </c>
      <c r="D8" s="3">
        <f t="shared" si="1"/>
        <v>0.5</v>
      </c>
    </row>
    <row r="9" spans="1:4" x14ac:dyDescent="0.25">
      <c r="A9" s="3">
        <v>178</v>
      </c>
      <c r="B9" s="3">
        <v>2</v>
      </c>
      <c r="C9" s="3">
        <f t="shared" si="0"/>
        <v>0.1</v>
      </c>
      <c r="D9" s="3">
        <f t="shared" si="1"/>
        <v>0.6</v>
      </c>
    </row>
    <row r="10" spans="1:4" x14ac:dyDescent="0.25">
      <c r="A10" s="3">
        <v>179</v>
      </c>
      <c r="B10" s="3">
        <v>3</v>
      </c>
      <c r="C10" s="3">
        <f t="shared" si="0"/>
        <v>0.15</v>
      </c>
      <c r="D10" s="3">
        <f t="shared" si="1"/>
        <v>0.75</v>
      </c>
    </row>
    <row r="11" spans="1:4" x14ac:dyDescent="0.25">
      <c r="A11" s="3">
        <v>181</v>
      </c>
      <c r="B11" s="3">
        <v>4</v>
      </c>
      <c r="C11" s="3">
        <f t="shared" si="0"/>
        <v>0.2</v>
      </c>
      <c r="D11" s="3">
        <f t="shared" si="1"/>
        <v>0.95</v>
      </c>
    </row>
    <row r="12" spans="1:4" x14ac:dyDescent="0.25">
      <c r="A12" s="5">
        <v>183</v>
      </c>
      <c r="B12" s="5">
        <v>1</v>
      </c>
      <c r="C12" s="3">
        <f t="shared" si="0"/>
        <v>0.05</v>
      </c>
      <c r="D12" s="3">
        <f t="shared" si="1"/>
        <v>1</v>
      </c>
    </row>
    <row r="13" spans="1:4" x14ac:dyDescent="0.25">
      <c r="A13" s="8" t="s">
        <v>14</v>
      </c>
      <c r="B13" s="7">
        <f>SUM(B2:B12)</f>
        <v>20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034C-93FE-4923-A292-C8540F58A409}">
  <dimension ref="A1:C5"/>
  <sheetViews>
    <sheetView workbookViewId="0">
      <selection activeCell="I5" sqref="I5"/>
    </sheetView>
  </sheetViews>
  <sheetFormatPr defaultRowHeight="15" x14ac:dyDescent="0.25"/>
  <cols>
    <col min="1" max="1" width="8.28515625" bestFit="1" customWidth="1"/>
    <col min="2" max="2" width="13" customWidth="1"/>
    <col min="3" max="3" width="13.85546875" style="1" customWidth="1"/>
  </cols>
  <sheetData>
    <row r="1" spans="1:3" ht="25.5" x14ac:dyDescent="0.25">
      <c r="A1" s="4" t="s">
        <v>4</v>
      </c>
      <c r="B1" s="4" t="s">
        <v>5</v>
      </c>
      <c r="C1" s="4" t="s">
        <v>6</v>
      </c>
    </row>
    <row r="2" spans="1:3" x14ac:dyDescent="0.25">
      <c r="A2" s="2" t="s">
        <v>7</v>
      </c>
      <c r="B2" s="2" t="s">
        <v>8</v>
      </c>
      <c r="C2" s="3">
        <v>2</v>
      </c>
    </row>
    <row r="3" spans="1:3" ht="26.25" x14ac:dyDescent="0.25">
      <c r="A3" s="2" t="s">
        <v>9</v>
      </c>
      <c r="B3" s="2" t="s">
        <v>10</v>
      </c>
      <c r="C3" s="3">
        <v>6</v>
      </c>
    </row>
    <row r="4" spans="1:3" x14ac:dyDescent="0.25">
      <c r="A4" s="2" t="s">
        <v>11</v>
      </c>
      <c r="B4" s="2" t="s">
        <v>12</v>
      </c>
      <c r="C4" s="3">
        <v>2</v>
      </c>
    </row>
    <row r="5" spans="1:3" x14ac:dyDescent="0.25">
      <c r="A5" s="17" t="s">
        <v>13</v>
      </c>
      <c r="B5" s="18"/>
      <c r="C5" s="3">
        <f>SUM(C2:C4)</f>
        <v>10</v>
      </c>
    </row>
  </sheetData>
  <mergeCells count="1">
    <mergeCell ref="A5:B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82D2-E9C4-4ECC-A49B-EE842EEE9AE1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 s="8" t="s">
        <v>23</v>
      </c>
      <c r="B1" s="7">
        <v>15</v>
      </c>
      <c r="C1" s="7">
        <v>16</v>
      </c>
      <c r="D1" s="7">
        <v>17</v>
      </c>
      <c r="E1" s="7">
        <v>18</v>
      </c>
      <c r="F1" s="7">
        <v>19</v>
      </c>
      <c r="G1" s="8" t="s">
        <v>14</v>
      </c>
    </row>
    <row r="2" spans="1:7" x14ac:dyDescent="0.25">
      <c r="A2" s="8" t="s">
        <v>24</v>
      </c>
      <c r="B2" s="7">
        <v>1</v>
      </c>
      <c r="C2" s="7">
        <v>4</v>
      </c>
      <c r="D2" s="7">
        <v>5</v>
      </c>
      <c r="E2" s="7">
        <v>4</v>
      </c>
      <c r="F2" s="7">
        <v>2</v>
      </c>
      <c r="G2" s="7">
        <f>SUM(B2:F2)</f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7440-4CD1-4169-8949-2A5BF78A6E27}">
  <dimension ref="A1:I3"/>
  <sheetViews>
    <sheetView workbookViewId="0">
      <selection activeCell="H16" sqref="H16"/>
    </sheetView>
  </sheetViews>
  <sheetFormatPr defaultRowHeight="15" x14ac:dyDescent="0.25"/>
  <sheetData>
    <row r="1" spans="1:9" x14ac:dyDescent="0.25">
      <c r="A1" s="8" t="s">
        <v>23</v>
      </c>
      <c r="B1" s="7">
        <v>2</v>
      </c>
      <c r="C1" s="7">
        <v>3</v>
      </c>
      <c r="D1" s="7">
        <v>4</v>
      </c>
      <c r="E1" s="7">
        <v>5</v>
      </c>
      <c r="F1" s="7">
        <v>6</v>
      </c>
      <c r="G1" s="13">
        <v>7</v>
      </c>
      <c r="H1" s="13">
        <v>8</v>
      </c>
      <c r="I1" s="8" t="s">
        <v>14</v>
      </c>
    </row>
    <row r="2" spans="1:9" x14ac:dyDescent="0.25">
      <c r="A2" s="8" t="s">
        <v>24</v>
      </c>
      <c r="B2" s="7">
        <v>1</v>
      </c>
      <c r="C2" s="7">
        <v>3</v>
      </c>
      <c r="D2" s="7">
        <v>4</v>
      </c>
      <c r="E2" s="7">
        <v>6</v>
      </c>
      <c r="F2" s="7">
        <v>5</v>
      </c>
      <c r="G2" s="13">
        <v>2</v>
      </c>
      <c r="H2" s="13">
        <v>1</v>
      </c>
      <c r="I2" s="7">
        <f>SUM(B2:H2)</f>
        <v>22</v>
      </c>
    </row>
    <row r="3" spans="1:9" x14ac:dyDescent="0.25">
      <c r="B3">
        <f>SUM(B2)</f>
        <v>1</v>
      </c>
      <c r="C3">
        <f>SUM(B3,C2)</f>
        <v>4</v>
      </c>
      <c r="D3">
        <f t="shared" ref="D3:H3" si="0">SUM(C3,D2)</f>
        <v>8</v>
      </c>
      <c r="E3">
        <f t="shared" si="0"/>
        <v>14</v>
      </c>
      <c r="F3">
        <f t="shared" si="0"/>
        <v>19</v>
      </c>
      <c r="G3">
        <f t="shared" si="0"/>
        <v>21</v>
      </c>
      <c r="H3">
        <f t="shared" si="0"/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179B-A7F4-41E0-A5BC-AA813E371CBB}">
  <dimension ref="A1:I4"/>
  <sheetViews>
    <sheetView workbookViewId="0">
      <selection activeCell="B1" sqref="B1:H4"/>
    </sheetView>
  </sheetViews>
  <sheetFormatPr defaultRowHeight="15" x14ac:dyDescent="0.25"/>
  <cols>
    <col min="1" max="1" width="13.5703125" customWidth="1"/>
    <col min="2" max="2" width="12.5703125" bestFit="1" customWidth="1"/>
    <col min="9" max="9" width="6.5703125" customWidth="1"/>
  </cols>
  <sheetData>
    <row r="1" spans="1:9" ht="33" customHeight="1" x14ac:dyDescent="0.25">
      <c r="A1" s="14" t="s">
        <v>26</v>
      </c>
      <c r="B1" s="15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8" t="s">
        <v>25</v>
      </c>
    </row>
    <row r="2" spans="1:9" ht="27.75" customHeight="1" x14ac:dyDescent="0.25">
      <c r="A2" s="14" t="s">
        <v>27</v>
      </c>
      <c r="B2" s="6">
        <v>1</v>
      </c>
      <c r="C2" s="6">
        <v>2</v>
      </c>
      <c r="D2" s="6">
        <v>7</v>
      </c>
      <c r="E2" s="6">
        <v>18</v>
      </c>
      <c r="F2" s="6">
        <v>12</v>
      </c>
      <c r="G2" s="6">
        <v>8</v>
      </c>
      <c r="H2" s="6">
        <v>2</v>
      </c>
      <c r="I2" s="6">
        <f>SUM(B2:H2)</f>
        <v>50</v>
      </c>
    </row>
    <row r="3" spans="1:9" ht="30" x14ac:dyDescent="0.25">
      <c r="A3" s="14" t="s">
        <v>42</v>
      </c>
      <c r="B3" s="6">
        <f>B2/10</f>
        <v>0.1</v>
      </c>
      <c r="C3" s="6">
        <f t="shared" ref="C3:H3" si="0">C2/10</f>
        <v>0.2</v>
      </c>
      <c r="D3" s="6">
        <f t="shared" si="0"/>
        <v>0.7</v>
      </c>
      <c r="E3" s="6">
        <f t="shared" si="0"/>
        <v>1.8</v>
      </c>
      <c r="F3" s="6">
        <f t="shared" si="0"/>
        <v>1.2</v>
      </c>
      <c r="G3" s="6">
        <f t="shared" si="0"/>
        <v>0.8</v>
      </c>
      <c r="H3" s="6">
        <f t="shared" si="0"/>
        <v>0.2</v>
      </c>
    </row>
    <row r="4" spans="1:9" ht="30" x14ac:dyDescent="0.25">
      <c r="A4" s="14" t="s">
        <v>41</v>
      </c>
      <c r="B4" s="16">
        <f>AVERAGE(10,20)</f>
        <v>15</v>
      </c>
      <c r="C4" s="16">
        <f>AVERAGE(20,30)</f>
        <v>25</v>
      </c>
      <c r="D4" s="16">
        <f>AVERAGE(30,40)</f>
        <v>35</v>
      </c>
      <c r="E4" s="16">
        <f>AVERAGE(40,50)</f>
        <v>45</v>
      </c>
      <c r="F4" s="16">
        <f>AVERAGE(50,60)</f>
        <v>55</v>
      </c>
      <c r="G4" s="16">
        <f>AVERAGE(60,70)</f>
        <v>65</v>
      </c>
      <c r="H4" s="16">
        <f>AVERAGE(70,80)</f>
        <v>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A8B6-DBA7-4B6C-A4D7-F06F376E85AF}">
  <dimension ref="A1:H4"/>
  <sheetViews>
    <sheetView tabSelected="1" workbookViewId="0">
      <selection activeCell="Q23" sqref="Q23"/>
    </sheetView>
  </sheetViews>
  <sheetFormatPr defaultRowHeight="15" x14ac:dyDescent="0.25"/>
  <cols>
    <col min="1" max="1" width="13.85546875" customWidth="1"/>
  </cols>
  <sheetData>
    <row r="1" spans="1:8" ht="30" x14ac:dyDescent="0.25">
      <c r="A1" s="14" t="s">
        <v>26</v>
      </c>
      <c r="B1" s="15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8" t="s">
        <v>25</v>
      </c>
    </row>
    <row r="2" spans="1:8" x14ac:dyDescent="0.25">
      <c r="A2" s="14" t="s">
        <v>27</v>
      </c>
      <c r="B2" s="6">
        <v>8</v>
      </c>
      <c r="C2" s="6">
        <v>14</v>
      </c>
      <c r="D2" s="6">
        <v>40</v>
      </c>
      <c r="E2" s="6">
        <v>26</v>
      </c>
      <c r="F2" s="6">
        <v>6</v>
      </c>
      <c r="G2" s="6">
        <v>4</v>
      </c>
      <c r="H2" s="6">
        <f>SUM(A2:G2)</f>
        <v>98</v>
      </c>
    </row>
    <row r="3" spans="1:8" ht="30" x14ac:dyDescent="0.25">
      <c r="A3" s="14" t="s">
        <v>42</v>
      </c>
      <c r="B3" s="6">
        <f>B2/10</f>
        <v>0.8</v>
      </c>
      <c r="C3" s="6">
        <f t="shared" ref="C3:G3" si="0">C2/10</f>
        <v>1.4</v>
      </c>
      <c r="D3" s="6">
        <f t="shared" si="0"/>
        <v>4</v>
      </c>
      <c r="E3" s="6">
        <f t="shared" si="0"/>
        <v>2.6</v>
      </c>
      <c r="F3" s="6">
        <f t="shared" si="0"/>
        <v>0.6</v>
      </c>
      <c r="G3" s="6">
        <f t="shared" si="0"/>
        <v>0.4</v>
      </c>
    </row>
    <row r="4" spans="1:8" ht="30" x14ac:dyDescent="0.25">
      <c r="A4" s="14" t="s">
        <v>41</v>
      </c>
      <c r="B4" s="16">
        <f>AVERAGE(5,7)</f>
        <v>6</v>
      </c>
      <c r="C4" s="16">
        <f>AVERAGE(7,9)</f>
        <v>8</v>
      </c>
      <c r="D4" s="16">
        <f>AVERAGE(9,11)</f>
        <v>10</v>
      </c>
      <c r="E4" s="16">
        <f>AVERAGE(11,13)</f>
        <v>12</v>
      </c>
      <c r="F4" s="16">
        <f>AVERAGE(13,15)</f>
        <v>14</v>
      </c>
      <c r="G4" s="16">
        <f>AVERAGE(15,17)</f>
        <v>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94DD-D8C0-4BEF-AAB7-322F4D4C3CEC}">
  <dimension ref="A1:C8"/>
  <sheetViews>
    <sheetView workbookViewId="0">
      <selection activeCell="D27" sqref="D27"/>
    </sheetView>
  </sheetViews>
  <sheetFormatPr defaultRowHeight="15" x14ac:dyDescent="0.25"/>
  <cols>
    <col min="1" max="1" width="10.42578125" bestFit="1" customWidth="1"/>
    <col min="3" max="3" width="19.85546875" customWidth="1"/>
  </cols>
  <sheetData>
    <row r="1" spans="1:3" ht="31.5" customHeight="1" x14ac:dyDescent="0.25">
      <c r="A1" s="4" t="s">
        <v>15</v>
      </c>
      <c r="B1" s="4" t="s">
        <v>1</v>
      </c>
      <c r="C1" s="4" t="s">
        <v>16</v>
      </c>
    </row>
    <row r="2" spans="1:3" x14ac:dyDescent="0.25">
      <c r="A2" s="9" t="s">
        <v>17</v>
      </c>
      <c r="B2" s="10">
        <v>2</v>
      </c>
      <c r="C2" s="11">
        <f>SUM($B$2/$B$8)</f>
        <v>4.5454545454545456E-2</v>
      </c>
    </row>
    <row r="3" spans="1:3" x14ac:dyDescent="0.25">
      <c r="A3" s="9" t="s">
        <v>18</v>
      </c>
      <c r="B3" s="10">
        <v>4</v>
      </c>
      <c r="C3" s="11">
        <f>SUM($B$2:B3)/$B$8</f>
        <v>0.13636363636363635</v>
      </c>
    </row>
    <row r="4" spans="1:3" x14ac:dyDescent="0.25">
      <c r="A4" s="9" t="s">
        <v>19</v>
      </c>
      <c r="B4" s="10">
        <v>10</v>
      </c>
      <c r="C4" s="11">
        <f>SUM($B$2:B4)/$B$8</f>
        <v>0.36363636363636365</v>
      </c>
    </row>
    <row r="5" spans="1:3" x14ac:dyDescent="0.25">
      <c r="A5" s="9" t="s">
        <v>20</v>
      </c>
      <c r="B5" s="10">
        <v>17</v>
      </c>
      <c r="C5" s="11">
        <f>SUM($B$2:B5)/$B$8</f>
        <v>0.75</v>
      </c>
    </row>
    <row r="6" spans="1:3" x14ac:dyDescent="0.25">
      <c r="A6" s="9" t="s">
        <v>21</v>
      </c>
      <c r="B6" s="10">
        <v>10</v>
      </c>
      <c r="C6" s="11">
        <f>SUM($B$2:B6)/$B$8</f>
        <v>0.97727272727272729</v>
      </c>
    </row>
    <row r="7" spans="1:3" x14ac:dyDescent="0.25">
      <c r="A7" s="9" t="s">
        <v>22</v>
      </c>
      <c r="B7" s="10">
        <v>1</v>
      </c>
      <c r="C7" s="11">
        <f>SUM($B$2:B7)/$B$8</f>
        <v>1</v>
      </c>
    </row>
    <row r="8" spans="1:3" x14ac:dyDescent="0.25">
      <c r="A8" s="12" t="s">
        <v>14</v>
      </c>
      <c r="B8" s="7">
        <f>SUM(B2:B7)</f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3F62-DF35-4133-8BAF-51DE704BCFE2}">
  <dimension ref="A1:E2"/>
  <sheetViews>
    <sheetView workbookViewId="0">
      <selection activeCell="F3" sqref="F3"/>
    </sheetView>
  </sheetViews>
  <sheetFormatPr defaultRowHeight="15" x14ac:dyDescent="0.25"/>
  <sheetData>
    <row r="1" spans="1:5" ht="22.5" customHeight="1" x14ac:dyDescent="0.25">
      <c r="A1" s="8" t="s">
        <v>23</v>
      </c>
      <c r="B1" s="6">
        <v>2</v>
      </c>
      <c r="C1" s="6">
        <v>3</v>
      </c>
      <c r="D1" s="6">
        <v>5</v>
      </c>
      <c r="E1" s="6">
        <v>6</v>
      </c>
    </row>
    <row r="2" spans="1:5" ht="22.5" customHeight="1" x14ac:dyDescent="0.25">
      <c r="A2" s="8" t="s">
        <v>24</v>
      </c>
      <c r="B2" s="6">
        <v>10</v>
      </c>
      <c r="C2" s="6">
        <v>15</v>
      </c>
      <c r="D2" s="6">
        <v>5</v>
      </c>
      <c r="E2" s="6">
        <v>20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7CDD-6EB9-452B-BF96-232E66AFCBF5}">
  <dimension ref="A1:F2"/>
  <sheetViews>
    <sheetView workbookViewId="0">
      <selection activeCell="E3" sqref="E3"/>
    </sheetView>
  </sheetViews>
  <sheetFormatPr defaultRowHeight="15" x14ac:dyDescent="0.25"/>
  <sheetData>
    <row r="1" spans="1:6" ht="22.5" customHeight="1" x14ac:dyDescent="0.25">
      <c r="A1" s="8" t="s">
        <v>23</v>
      </c>
      <c r="B1" s="6">
        <v>15</v>
      </c>
      <c r="C1" s="6">
        <v>20</v>
      </c>
      <c r="D1" s="6">
        <v>25</v>
      </c>
      <c r="E1" s="6">
        <v>30</v>
      </c>
      <c r="F1" s="6">
        <v>35</v>
      </c>
    </row>
    <row r="2" spans="1:6" ht="22.5" customHeight="1" x14ac:dyDescent="0.25">
      <c r="A2" s="8" t="s">
        <v>24</v>
      </c>
      <c r="B2" s="6">
        <v>10</v>
      </c>
      <c r="C2" s="6">
        <v>15</v>
      </c>
      <c r="D2" s="6">
        <v>30</v>
      </c>
      <c r="E2" s="6">
        <v>20</v>
      </c>
      <c r="F2" s="6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9</vt:i4>
      </vt:variant>
    </vt:vector>
  </HeadingPairs>
  <TitlesOfParts>
    <vt:vector size="9" baseType="lpstr">
      <vt:lpstr>1</vt:lpstr>
      <vt:lpstr>2</vt:lpstr>
      <vt:lpstr>3.1</vt:lpstr>
      <vt:lpstr>3.2</vt:lpstr>
      <vt:lpstr>3.3</vt:lpstr>
      <vt:lpstr>3.4</vt:lpstr>
      <vt:lpstr>3.5</vt:lpstr>
      <vt:lpstr>3.7</vt:lpstr>
      <vt:lpstr>3.8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 GG</dc:creator>
  <cp:lastModifiedBy>Anonim GG</cp:lastModifiedBy>
  <dcterms:created xsi:type="dcterms:W3CDTF">2026-04-26T15:09:53Z</dcterms:created>
  <dcterms:modified xsi:type="dcterms:W3CDTF">2026-04-26T16:43:34Z</dcterms:modified>
</cp:coreProperties>
</file>