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RNU\MTC\Lab4\"/>
    </mc:Choice>
  </mc:AlternateContent>
  <xr:revisionPtr revIDLastSave="0" documentId="13_ncr:1_{A8B42819-C342-4D99-A456-747DB9091F56}" xr6:coauthVersionLast="47" xr6:coauthVersionMax="47" xr10:uidLastSave="{00000000-0000-0000-0000-000000000000}"/>
  <bookViews>
    <workbookView xWindow="-120" yWindow="-120" windowWidth="29040" windowHeight="15840" activeTab="3" xr2:uid="{9AD73ED0-41BE-43C8-B8D9-9E9969F77C59}"/>
  </bookViews>
  <sheets>
    <sheet name="Завдання 1" sheetId="1" r:id="rId1"/>
    <sheet name="Завдання 2" sheetId="2" r:id="rId2"/>
    <sheet name="Завдання 3-8" sheetId="3" r:id="rId3"/>
    <sheet name="Завдання 9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4" l="1" a="1"/>
  <c r="I5" i="4" s="1"/>
  <c r="D4" i="4"/>
  <c r="C4" i="4"/>
  <c r="B4" i="4"/>
  <c r="F2" i="4" s="1" a="1"/>
  <c r="F2" i="4" s="1"/>
  <c r="E20" i="3"/>
  <c r="K20" i="3"/>
  <c r="K22" i="3"/>
  <c r="K13" i="3"/>
  <c r="K11" i="3"/>
  <c r="K4" i="3"/>
  <c r="K5" i="3" s="1"/>
  <c r="K2" i="3"/>
  <c r="K23" i="3"/>
  <c r="E11" i="3"/>
  <c r="E13" i="3"/>
  <c r="E14" i="3" s="1"/>
  <c r="E22" i="3"/>
  <c r="E23" i="3" s="1"/>
  <c r="K14" i="3"/>
  <c r="E2" i="3"/>
  <c r="E4" i="3"/>
  <c r="E5" i="3" s="1"/>
  <c r="A4" i="2"/>
  <c r="B4" i="2"/>
  <c r="B11" i="1"/>
  <c r="B12" i="1" s="1"/>
  <c r="B10" i="1"/>
  <c r="C3" i="1"/>
  <c r="C4" i="1"/>
  <c r="C5" i="1"/>
  <c r="C6" i="1"/>
  <c r="C2" i="1"/>
  <c r="B9" i="1"/>
  <c r="B8" i="1"/>
  <c r="I3" i="4" l="1" a="1"/>
  <c r="I3" i="4" s="1"/>
  <c r="I4" i="4" a="1"/>
  <c r="I4" i="4" s="1"/>
  <c r="I2" i="4" a="1"/>
  <c r="I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<sst xmlns="http://schemas.openxmlformats.org/spreadsheetml/2006/main" count="75" uniqueCount="27">
  <si>
    <t>M(X)</t>
  </si>
  <si>
    <t>M(X^2)</t>
  </si>
  <si>
    <t>(M(X))^2</t>
  </si>
  <si>
    <t>D(X)</t>
  </si>
  <si>
    <t>σ(X)</t>
  </si>
  <si>
    <t>X^2</t>
  </si>
  <si>
    <t>Значення (X)</t>
  </si>
  <si>
    <t>Імовірність (P)</t>
  </si>
  <si>
    <t>P(i)</t>
  </si>
  <si>
    <t>p(i)</t>
  </si>
  <si>
    <t>x(i)</t>
  </si>
  <si>
    <t>M(x)</t>
  </si>
  <si>
    <t>M(Y)</t>
  </si>
  <si>
    <t>D(Y)</t>
  </si>
  <si>
    <t>M(Z)</t>
  </si>
  <si>
    <t>D(Z)</t>
  </si>
  <si>
    <t>Кофіцієнт X</t>
  </si>
  <si>
    <t>Кофіцієнт Y</t>
  </si>
  <si>
    <t>Завдання 3</t>
  </si>
  <si>
    <t>Завдання 4</t>
  </si>
  <si>
    <t>Завдання 5</t>
  </si>
  <si>
    <t>Завдання 6</t>
  </si>
  <si>
    <t>Завдання 7</t>
  </si>
  <si>
    <t>Завдання 8</t>
  </si>
  <si>
    <t>X(i)</t>
  </si>
  <si>
    <t>X^2(i)</t>
  </si>
  <si>
    <t>Сума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</si>
</sst>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47624</xdr:colOff>
      <xdr:row>0</xdr:row>
      <xdr:rowOff>176212</xdr:rowOff>
    </xdr:from>
    <xdr:ext cx="1790701" cy="7631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8E10398-56C7-4059-952F-2953A96E9B0E}"/>
                </a:ext>
              </a:extLst>
            </xdr:cNvPr>
            <xdr:cNvSpPr txBox="1"/>
          </xdr:nvSpPr>
          <xdr:spPr>
            <a:xfrm>
              <a:off x="6276974" y="176212"/>
              <a:ext cx="179070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r>
                      <a:rPr lang="af-ZA" sz="11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af-ZA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af-ZA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af-ZA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af-ZA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af-ZA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0,               </m:t>
                            </m:r>
                            <m:r>
                              <a:rPr lang="af-ZA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≤1</m:t>
                            </m:r>
                          </m:e>
                          <m:e>
                            <m:r>
                              <a:rPr lang="af-ZA" sz="110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af-ZA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2,   1&lt;</m:t>
                            </m:r>
                            <m:r>
                              <a:rPr lang="af-ZA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≤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  <m:r>
                              <a:rPr lang="af-ZA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&lt;</m:t>
                            </m:r>
                            <m:r>
                              <a:rPr lang="af-ZA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≤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e>
                          <m:e>
                            <m:r>
                              <a:rPr lang="af-ZA" sz="110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             </m:t>
                            </m:r>
                            <m:r>
                              <a:rPr lang="af-ZA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&gt;3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uk-UA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8E10398-56C7-4059-952F-2953A96E9B0E}"/>
                </a:ext>
              </a:extLst>
            </xdr:cNvPr>
            <xdr:cNvSpPr txBox="1"/>
          </xdr:nvSpPr>
          <xdr:spPr>
            <a:xfrm>
              <a:off x="6276974" y="176212"/>
              <a:ext cx="1790701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af-ZA" sz="1100" i="0">
                  <a:latin typeface="Cambria Math" panose="02040503050406030204" pitchFamily="18" charset="0"/>
                </a:rPr>
                <a:t>𝑓(𝑥)={█(</a:t>
              </a:r>
              <a:r>
                <a:rPr lang="en-US" sz="1100" b="0" i="0">
                  <a:latin typeface="Cambria Math" panose="02040503050406030204" pitchFamily="18" charset="0"/>
                </a:rPr>
                <a:t>0,               </a:t>
              </a:r>
              <a:r>
                <a:rPr lang="af-ZA" sz="1100" i="0">
                  <a:latin typeface="Cambria Math" panose="02040503050406030204" pitchFamily="18" charset="0"/>
                </a:rPr>
                <a:t>𝑥</a:t>
              </a:r>
              <a:r>
                <a:rPr lang="en-US" sz="1100" b="0" i="0">
                  <a:latin typeface="Cambria Math" panose="02040503050406030204" pitchFamily="18" charset="0"/>
                </a:rPr>
                <a:t>≤1</a:t>
              </a:r>
              <a:r>
                <a:rPr lang="af-ZA" sz="1100" b="0" i="0">
                  <a:latin typeface="Cambria Math" panose="02040503050406030204" pitchFamily="18" charset="0"/>
                </a:rPr>
                <a:t>@</a:t>
              </a:r>
              <a:r>
                <a:rPr lang="af-ZA" sz="1100" i="0">
                  <a:latin typeface="Cambria Math" panose="02040503050406030204" pitchFamily="18" charset="0"/>
                </a:rPr>
                <a:t>&amp;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af-ZA" sz="1100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2,   1&lt;</a:t>
              </a:r>
              <a:r>
                <a:rPr lang="af-Z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af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af-Z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&lt;</a:t>
              </a:r>
              <a:r>
                <a:rPr lang="af-Z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af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af-ZA" sz="1100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      </a:t>
              </a:r>
              <a:r>
                <a:rPr lang="af-Z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&gt;3</a:t>
              </a:r>
              <a:r>
                <a:rPr lang="af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uk-UA" sz="1100"/>
            </a:p>
          </xdr:txBody>
        </xdr:sp>
      </mc:Fallback>
    </mc:AlternateContent>
    <xdr:clientData/>
  </xdr:oneCellAnchor>
  <xdr:oneCellAnchor>
    <xdr:from>
      <xdr:col>13</xdr:col>
      <xdr:colOff>533400</xdr:colOff>
      <xdr:row>16</xdr:row>
      <xdr:rowOff>128587</xdr:rowOff>
    </xdr:from>
    <xdr:ext cx="65" cy="3444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76F32-7F10-4CA7-9FA7-DA9398BF5FED}"/>
            </a:ext>
          </a:extLst>
        </xdr:cNvPr>
        <xdr:cNvSpPr txBox="1"/>
      </xdr:nvSpPr>
      <xdr:spPr>
        <a:xfrm>
          <a:off x="8458200" y="317658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uk-UA" sz="1100"/>
        </a:p>
        <a:p>
          <a:endParaRPr lang="uk-UA" sz="1100"/>
        </a:p>
      </xdr:txBody>
    </xdr:sp>
    <xdr:clientData/>
  </xdr:oneCellAnchor>
  <xdr:oneCellAnchor>
    <xdr:from>
      <xdr:col>13</xdr:col>
      <xdr:colOff>533400</xdr:colOff>
      <xdr:row>16</xdr:row>
      <xdr:rowOff>128587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75EF25-A8B5-490D-94E2-83C1642B6D3E}"/>
            </a:ext>
          </a:extLst>
        </xdr:cNvPr>
        <xdr:cNvSpPr txBox="1"/>
      </xdr:nvSpPr>
      <xdr:spPr>
        <a:xfrm>
          <a:off x="8591550" y="3176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uk-UA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DDDF-EEAA-4926-967B-3B16D07DF309}">
  <dimension ref="A1:D12"/>
  <sheetViews>
    <sheetView workbookViewId="0">
      <selection activeCell="A12" sqref="A12"/>
    </sheetView>
  </sheetViews>
  <sheetFormatPr defaultRowHeight="15" x14ac:dyDescent="0.25"/>
  <cols>
    <col min="1" max="1" width="15.85546875" bestFit="1" customWidth="1"/>
    <col min="2" max="2" width="18.140625" bestFit="1" customWidth="1"/>
    <col min="3" max="3" width="7.28515625" customWidth="1"/>
  </cols>
  <sheetData>
    <row r="1" spans="1:4" ht="18.75" x14ac:dyDescent="0.25">
      <c r="A1" s="4" t="s">
        <v>6</v>
      </c>
      <c r="B1" s="4" t="s">
        <v>7</v>
      </c>
      <c r="C1" s="4" t="s">
        <v>5</v>
      </c>
    </row>
    <row r="2" spans="1:4" ht="18.75" x14ac:dyDescent="0.25">
      <c r="A2" s="5">
        <v>8</v>
      </c>
      <c r="B2" s="5">
        <v>0.2</v>
      </c>
      <c r="C2" s="5">
        <f>A2^2</f>
        <v>64</v>
      </c>
    </row>
    <row r="3" spans="1:4" ht="18.75" x14ac:dyDescent="0.25">
      <c r="A3" s="5">
        <v>14</v>
      </c>
      <c r="B3" s="5">
        <v>0.1</v>
      </c>
      <c r="C3" s="5">
        <f t="shared" ref="C3:C6" si="0">A3^2</f>
        <v>196</v>
      </c>
    </row>
    <row r="4" spans="1:4" ht="18.75" x14ac:dyDescent="0.25">
      <c r="A4" s="5">
        <v>17</v>
      </c>
      <c r="B4" s="5">
        <v>0.2</v>
      </c>
      <c r="C4" s="5">
        <f t="shared" si="0"/>
        <v>289</v>
      </c>
    </row>
    <row r="5" spans="1:4" ht="18.75" x14ac:dyDescent="0.25">
      <c r="A5" s="5">
        <v>20</v>
      </c>
      <c r="B5" s="5">
        <v>0.2</v>
      </c>
      <c r="C5" s="5">
        <f t="shared" si="0"/>
        <v>400</v>
      </c>
    </row>
    <row r="6" spans="1:4" ht="18.75" x14ac:dyDescent="0.25">
      <c r="A6" s="5">
        <v>25</v>
      </c>
      <c r="B6" s="5">
        <v>0.1</v>
      </c>
      <c r="C6" s="5">
        <f t="shared" si="0"/>
        <v>625</v>
      </c>
    </row>
    <row r="7" spans="1:4" ht="18.75" x14ac:dyDescent="0.25">
      <c r="A7" s="3"/>
      <c r="B7" s="3"/>
      <c r="C7" s="3"/>
    </row>
    <row r="8" spans="1:4" ht="18.75" x14ac:dyDescent="0.25">
      <c r="A8" s="4" t="s">
        <v>0</v>
      </c>
      <c r="B8" s="5">
        <f>SUMPRODUCT(A2:A6,B2:B6)</f>
        <v>12.9</v>
      </c>
      <c r="C8" s="3"/>
      <c r="D8" s="2"/>
    </row>
    <row r="9" spans="1:4" ht="18.75" x14ac:dyDescent="0.25">
      <c r="A9" s="4" t="s">
        <v>2</v>
      </c>
      <c r="B9" s="5">
        <f>SUMPRODUCT(A2:A6,B2:B6)^2</f>
        <v>166.41</v>
      </c>
      <c r="C9" s="3"/>
      <c r="D9" s="2"/>
    </row>
    <row r="10" spans="1:4" ht="18.75" x14ac:dyDescent="0.25">
      <c r="A10" s="4" t="s">
        <v>1</v>
      </c>
      <c r="B10" s="5">
        <f>SUMPRODUCT(B2:B6,C2:C6)</f>
        <v>232.70000000000002</v>
      </c>
      <c r="C10" s="3"/>
      <c r="D10" s="2"/>
    </row>
    <row r="11" spans="1:4" ht="18.75" x14ac:dyDescent="0.25">
      <c r="A11" s="4" t="s">
        <v>3</v>
      </c>
      <c r="B11" s="5">
        <f>B10-B9</f>
        <v>66.29000000000002</v>
      </c>
      <c r="C11" s="3"/>
    </row>
    <row r="12" spans="1:4" ht="18.75" x14ac:dyDescent="0.25">
      <c r="A12" s="4" t="s">
        <v>4</v>
      </c>
      <c r="B12" s="5">
        <f>SQRT(B11)</f>
        <v>8.1418671077339511</v>
      </c>
      <c r="C1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FFA-9D9D-4197-9D69-60FC1CDA7E4F}">
  <dimension ref="A1:E4"/>
  <sheetViews>
    <sheetView workbookViewId="0">
      <selection activeCell="D4" sqref="D4"/>
    </sheetView>
  </sheetViews>
  <sheetFormatPr defaultRowHeight="15" x14ac:dyDescent="0.25"/>
  <sheetData>
    <row r="1" spans="1:5" ht="18.75" x14ac:dyDescent="0.25">
      <c r="A1" s="4" t="s">
        <v>10</v>
      </c>
      <c r="B1" s="4" t="s">
        <v>9</v>
      </c>
      <c r="C1" s="3"/>
      <c r="D1" s="3"/>
      <c r="E1" s="3"/>
    </row>
    <row r="2" spans="1:5" ht="18.75" x14ac:dyDescent="0.25">
      <c r="A2" s="5">
        <v>5</v>
      </c>
      <c r="B2" s="5">
        <v>0.5</v>
      </c>
      <c r="C2" s="3"/>
      <c r="D2" s="4" t="s">
        <v>11</v>
      </c>
      <c r="E2" s="5">
        <v>7</v>
      </c>
    </row>
    <row r="3" spans="1:5" ht="18.75" x14ac:dyDescent="0.25">
      <c r="A3" s="5">
        <v>8</v>
      </c>
      <c r="B3" s="5">
        <v>0.3</v>
      </c>
      <c r="C3" s="3"/>
      <c r="D3" s="3"/>
      <c r="E3" s="3"/>
    </row>
    <row r="4" spans="1:5" ht="18.75" x14ac:dyDescent="0.25">
      <c r="A4" s="5">
        <f>((E2-SUMPRODUCT(A2:A3,B2:B3))/B4)</f>
        <v>10.5</v>
      </c>
      <c r="B4" s="5">
        <f>1-SUM(B2:B3)</f>
        <v>0.19999999999999996</v>
      </c>
      <c r="C4" s="3"/>
      <c r="D4" s="3"/>
      <c r="E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A7D-05D1-4BA0-B4D2-A604A647CD5A}">
  <dimension ref="A1:K35"/>
  <sheetViews>
    <sheetView workbookViewId="0">
      <selection activeCell="K20" sqref="K20"/>
    </sheetView>
  </sheetViews>
  <sheetFormatPr defaultRowHeight="15" x14ac:dyDescent="0.25"/>
  <cols>
    <col min="1" max="1" width="14.140625" bestFit="1" customWidth="1"/>
    <col min="7" max="7" width="14.140625" bestFit="1" customWidth="1"/>
  </cols>
  <sheetData>
    <row r="1" spans="1:11" ht="23.25" x14ac:dyDescent="0.35">
      <c r="A1" s="17" t="s">
        <v>18</v>
      </c>
      <c r="B1" s="18"/>
      <c r="C1" s="18"/>
      <c r="D1" s="18"/>
      <c r="E1" s="19"/>
      <c r="G1" s="17" t="s">
        <v>19</v>
      </c>
      <c r="H1" s="18"/>
      <c r="I1" s="18"/>
      <c r="J1" s="18"/>
      <c r="K1" s="19"/>
    </row>
    <row r="2" spans="1:11" ht="18.75" x14ac:dyDescent="0.25">
      <c r="A2" s="4" t="s">
        <v>0</v>
      </c>
      <c r="B2" s="6">
        <v>46</v>
      </c>
      <c r="C2" s="10"/>
      <c r="D2" s="4" t="s">
        <v>14</v>
      </c>
      <c r="E2" s="9">
        <f>B7*B2+B8*B3</f>
        <v>524</v>
      </c>
      <c r="G2" s="4" t="s">
        <v>0</v>
      </c>
      <c r="H2" s="6">
        <v>73</v>
      </c>
      <c r="I2" s="10"/>
      <c r="J2" s="4" t="s">
        <v>14</v>
      </c>
      <c r="K2" s="9">
        <f>H7*H2+H8*H3</f>
        <v>-5</v>
      </c>
    </row>
    <row r="3" spans="1:11" ht="18.75" x14ac:dyDescent="0.25">
      <c r="A3" s="4" t="s">
        <v>12</v>
      </c>
      <c r="B3" s="6">
        <v>68</v>
      </c>
      <c r="C3" s="10"/>
      <c r="D3" s="11"/>
      <c r="E3" s="12"/>
      <c r="G3" s="4" t="s">
        <v>12</v>
      </c>
      <c r="H3" s="6">
        <v>112</v>
      </c>
      <c r="I3" s="10"/>
      <c r="J3" s="11"/>
      <c r="K3" s="12"/>
    </row>
    <row r="4" spans="1:11" ht="18.75" x14ac:dyDescent="0.25">
      <c r="A4" s="4" t="s">
        <v>3</v>
      </c>
      <c r="B4" s="6">
        <v>8</v>
      </c>
      <c r="C4" s="10"/>
      <c r="D4" s="4" t="s">
        <v>15</v>
      </c>
      <c r="E4" s="9">
        <f>B7^2*B4+B8^2*B5</f>
        <v>178</v>
      </c>
      <c r="G4" s="4" t="s">
        <v>3</v>
      </c>
      <c r="H4" s="6">
        <v>11</v>
      </c>
      <c r="I4" s="10"/>
      <c r="J4" s="4" t="s">
        <v>15</v>
      </c>
      <c r="K4" s="9">
        <f>H7^2*H4+H8^2*H5</f>
        <v>183</v>
      </c>
    </row>
    <row r="5" spans="1:11" ht="18.75" x14ac:dyDescent="0.25">
      <c r="A5" s="4" t="s">
        <v>13</v>
      </c>
      <c r="B5" s="6">
        <v>2</v>
      </c>
      <c r="C5" s="10"/>
      <c r="D5" s="7" t="s">
        <v>4</v>
      </c>
      <c r="E5" s="6">
        <f>SQRT(E4)</f>
        <v>13.341664064126334</v>
      </c>
      <c r="G5" s="4" t="s">
        <v>13</v>
      </c>
      <c r="H5" s="6">
        <v>21</v>
      </c>
      <c r="I5" s="10"/>
      <c r="J5" s="7" t="s">
        <v>4</v>
      </c>
      <c r="K5" s="6">
        <f>SQRT(K4)</f>
        <v>13.527749258468683</v>
      </c>
    </row>
    <row r="6" spans="1:11" x14ac:dyDescent="0.25">
      <c r="A6" s="13"/>
      <c r="B6" s="10"/>
      <c r="C6" s="10"/>
      <c r="D6" s="10"/>
      <c r="E6" s="14"/>
      <c r="G6" s="13"/>
      <c r="H6" s="10"/>
      <c r="I6" s="10"/>
      <c r="J6" s="10"/>
      <c r="K6" s="14"/>
    </row>
    <row r="7" spans="1:11" ht="18.75" x14ac:dyDescent="0.25">
      <c r="A7" s="4" t="s">
        <v>16</v>
      </c>
      <c r="B7" s="8">
        <v>4</v>
      </c>
      <c r="C7" s="10"/>
      <c r="D7" s="10"/>
      <c r="E7" s="14"/>
      <c r="G7" s="4" t="s">
        <v>16</v>
      </c>
      <c r="H7" s="8">
        <v>3</v>
      </c>
      <c r="I7" s="10"/>
      <c r="J7" s="10"/>
      <c r="K7" s="14"/>
    </row>
    <row r="8" spans="1:11" ht="18.75" x14ac:dyDescent="0.25">
      <c r="A8" s="4" t="s">
        <v>17</v>
      </c>
      <c r="B8" s="8">
        <v>5</v>
      </c>
      <c r="C8" s="15"/>
      <c r="D8" s="15"/>
      <c r="E8" s="16"/>
      <c r="G8" s="4" t="s">
        <v>17</v>
      </c>
      <c r="H8" s="8">
        <v>-2</v>
      </c>
      <c r="I8" s="15"/>
      <c r="J8" s="15"/>
      <c r="K8" s="16"/>
    </row>
    <row r="10" spans="1:11" ht="23.25" x14ac:dyDescent="0.35">
      <c r="A10" s="17" t="s">
        <v>20</v>
      </c>
      <c r="B10" s="18"/>
      <c r="C10" s="18"/>
      <c r="D10" s="18"/>
      <c r="E10" s="19"/>
      <c r="G10" s="17" t="s">
        <v>21</v>
      </c>
      <c r="H10" s="18"/>
      <c r="I10" s="18"/>
      <c r="J10" s="18"/>
      <c r="K10" s="19"/>
    </row>
    <row r="11" spans="1:11" ht="18.75" x14ac:dyDescent="0.25">
      <c r="A11" s="4" t="s">
        <v>0</v>
      </c>
      <c r="B11" s="6">
        <v>3.9</v>
      </c>
      <c r="C11" s="10"/>
      <c r="D11" s="4" t="s">
        <v>14</v>
      </c>
      <c r="E11" s="9">
        <f>B16*B11+B17*B12</f>
        <v>31.700000000000003</v>
      </c>
      <c r="G11" s="4" t="s">
        <v>0</v>
      </c>
      <c r="H11" s="6">
        <v>43</v>
      </c>
      <c r="I11" s="10"/>
      <c r="J11" s="4" t="s">
        <v>14</v>
      </c>
      <c r="K11" s="9">
        <f>H16*H11+H17*H12</f>
        <v>-147</v>
      </c>
    </row>
    <row r="12" spans="1:11" ht="18.75" x14ac:dyDescent="0.25">
      <c r="A12" s="4" t="s">
        <v>12</v>
      </c>
      <c r="B12" s="6">
        <v>1.1000000000000001</v>
      </c>
      <c r="C12" s="10"/>
      <c r="D12" s="11"/>
      <c r="E12" s="12"/>
      <c r="G12" s="4" t="s">
        <v>12</v>
      </c>
      <c r="H12" s="6">
        <v>135</v>
      </c>
      <c r="I12" s="10"/>
      <c r="J12" s="11"/>
      <c r="K12" s="12"/>
    </row>
    <row r="13" spans="1:11" ht="18.75" x14ac:dyDescent="0.25">
      <c r="A13" s="4" t="s">
        <v>3</v>
      </c>
      <c r="B13" s="6">
        <v>2.1</v>
      </c>
      <c r="C13" s="10"/>
      <c r="D13" s="4" t="s">
        <v>15</v>
      </c>
      <c r="E13" s="9">
        <f>B16^2*B13+B17^2*B14</f>
        <v>158.9</v>
      </c>
      <c r="G13" s="4" t="s">
        <v>3</v>
      </c>
      <c r="H13" s="6">
        <v>27</v>
      </c>
      <c r="I13" s="10"/>
      <c r="J13" s="4" t="s">
        <v>15</v>
      </c>
      <c r="K13" s="9">
        <f>H16^2*H13+H17^2*H14</f>
        <v>1269</v>
      </c>
    </row>
    <row r="14" spans="1:11" ht="18.75" x14ac:dyDescent="0.25">
      <c r="A14" s="4" t="s">
        <v>13</v>
      </c>
      <c r="B14" s="6">
        <v>3.5</v>
      </c>
      <c r="C14" s="10"/>
      <c r="D14" s="7" t="s">
        <v>4</v>
      </c>
      <c r="E14" s="6">
        <f>SQRT(E13)</f>
        <v>12.605554331325537</v>
      </c>
      <c r="G14" s="4" t="s">
        <v>13</v>
      </c>
      <c r="H14" s="6">
        <v>33</v>
      </c>
      <c r="I14" s="10"/>
      <c r="J14" s="7" t="s">
        <v>4</v>
      </c>
      <c r="K14" s="6">
        <f>SQRT(K13)</f>
        <v>35.62302626111375</v>
      </c>
    </row>
    <row r="15" spans="1:11" x14ac:dyDescent="0.25">
      <c r="A15" s="13"/>
      <c r="B15" s="10"/>
      <c r="C15" s="10"/>
      <c r="D15" s="10"/>
      <c r="E15" s="14"/>
      <c r="G15" s="13"/>
      <c r="H15" s="10"/>
      <c r="I15" s="10"/>
      <c r="J15" s="10"/>
      <c r="K15" s="14"/>
    </row>
    <row r="16" spans="1:11" ht="18.75" x14ac:dyDescent="0.25">
      <c r="A16" s="4" t="s">
        <v>16</v>
      </c>
      <c r="B16" s="8">
        <v>7</v>
      </c>
      <c r="C16" s="10"/>
      <c r="D16" s="10"/>
      <c r="E16" s="14"/>
      <c r="G16" s="4" t="s">
        <v>16</v>
      </c>
      <c r="H16" s="8">
        <v>6</v>
      </c>
      <c r="I16" s="10"/>
      <c r="J16" s="10"/>
      <c r="K16" s="14"/>
    </row>
    <row r="17" spans="1:11" ht="18.75" x14ac:dyDescent="0.25">
      <c r="A17" s="4" t="s">
        <v>17</v>
      </c>
      <c r="B17" s="8">
        <v>4</v>
      </c>
      <c r="C17" s="15"/>
      <c r="D17" s="15"/>
      <c r="E17" s="16"/>
      <c r="G17" s="4" t="s">
        <v>17</v>
      </c>
      <c r="H17" s="8">
        <v>-3</v>
      </c>
      <c r="I17" s="15"/>
      <c r="J17" s="15"/>
      <c r="K17" s="16"/>
    </row>
    <row r="19" spans="1:11" ht="23.25" x14ac:dyDescent="0.35">
      <c r="A19" s="17" t="s">
        <v>22</v>
      </c>
      <c r="B19" s="18"/>
      <c r="C19" s="18"/>
      <c r="D19" s="18"/>
      <c r="E19" s="19"/>
      <c r="G19" s="17" t="s">
        <v>23</v>
      </c>
      <c r="H19" s="18"/>
      <c r="I19" s="18"/>
      <c r="J19" s="18"/>
      <c r="K19" s="19"/>
    </row>
    <row r="20" spans="1:11" ht="18.75" x14ac:dyDescent="0.25">
      <c r="A20" s="4" t="s">
        <v>0</v>
      </c>
      <c r="B20" s="6">
        <v>43</v>
      </c>
      <c r="C20" s="10"/>
      <c r="D20" s="4" t="s">
        <v>14</v>
      </c>
      <c r="E20" s="9">
        <f>B25*B20+B26*B21+4</f>
        <v>-327</v>
      </c>
      <c r="G20" s="4" t="s">
        <v>0</v>
      </c>
      <c r="H20" s="6">
        <v>7.9</v>
      </c>
      <c r="I20" s="10"/>
      <c r="J20" s="4" t="s">
        <v>14</v>
      </c>
      <c r="K20" s="9">
        <f>H25*H20+H26*H21+5</f>
        <v>-45.29999999999999</v>
      </c>
    </row>
    <row r="21" spans="1:11" ht="18.75" x14ac:dyDescent="0.25">
      <c r="A21" s="4" t="s">
        <v>12</v>
      </c>
      <c r="B21" s="6">
        <v>135</v>
      </c>
      <c r="C21" s="10"/>
      <c r="D21" s="11"/>
      <c r="E21" s="12"/>
      <c r="G21" s="4" t="s">
        <v>12</v>
      </c>
      <c r="H21" s="6">
        <v>9.1</v>
      </c>
      <c r="I21" s="10"/>
      <c r="J21" s="11"/>
      <c r="K21" s="12"/>
    </row>
    <row r="22" spans="1:11" ht="18.75" x14ac:dyDescent="0.25">
      <c r="A22" s="4" t="s">
        <v>3</v>
      </c>
      <c r="B22" s="6">
        <v>27</v>
      </c>
      <c r="C22" s="10"/>
      <c r="D22" s="4" t="s">
        <v>15</v>
      </c>
      <c r="E22" s="9">
        <f>B25^2*B22+B26^2*B23</f>
        <v>2553</v>
      </c>
      <c r="G22" s="4" t="s">
        <v>3</v>
      </c>
      <c r="H22" s="6">
        <v>1.1000000000000001</v>
      </c>
      <c r="I22" s="10"/>
      <c r="J22" s="4" t="s">
        <v>15</v>
      </c>
      <c r="K22" s="9">
        <f>H25^2*H22+H26^2*H23</f>
        <v>382.1</v>
      </c>
    </row>
    <row r="23" spans="1:11" ht="18.75" x14ac:dyDescent="0.25">
      <c r="A23" s="4" t="s">
        <v>13</v>
      </c>
      <c r="B23" s="6">
        <v>33</v>
      </c>
      <c r="C23" s="10"/>
      <c r="D23" s="7" t="s">
        <v>4</v>
      </c>
      <c r="E23" s="6">
        <f>SQRT(E22)</f>
        <v>50.527220386639122</v>
      </c>
      <c r="G23" s="4" t="s">
        <v>13</v>
      </c>
      <c r="H23" s="6">
        <v>4.5</v>
      </c>
      <c r="I23" s="10"/>
      <c r="J23" s="7" t="s">
        <v>4</v>
      </c>
      <c r="K23" s="6">
        <f>SQRT(K22)</f>
        <v>19.547378340841515</v>
      </c>
    </row>
    <row r="24" spans="1:11" x14ac:dyDescent="0.25">
      <c r="A24" s="13"/>
      <c r="B24" s="10"/>
      <c r="C24" s="10"/>
      <c r="D24" s="10"/>
      <c r="E24" s="14"/>
      <c r="G24" s="13"/>
      <c r="H24" s="10"/>
      <c r="I24" s="10"/>
      <c r="J24" s="10"/>
      <c r="K24" s="14"/>
    </row>
    <row r="25" spans="1:11" ht="18.75" x14ac:dyDescent="0.25">
      <c r="A25" s="4" t="s">
        <v>16</v>
      </c>
      <c r="B25" s="8">
        <v>8</v>
      </c>
      <c r="C25" s="10"/>
      <c r="D25" s="10"/>
      <c r="E25" s="14"/>
      <c r="G25" s="4" t="s">
        <v>16</v>
      </c>
      <c r="H25" s="8">
        <v>4</v>
      </c>
      <c r="I25" s="10"/>
      <c r="J25" s="10"/>
      <c r="K25" s="14"/>
    </row>
    <row r="26" spans="1:11" ht="18.75" x14ac:dyDescent="0.25">
      <c r="A26" s="4" t="s">
        <v>17</v>
      </c>
      <c r="B26" s="8">
        <v>-5</v>
      </c>
      <c r="C26" s="15"/>
      <c r="D26" s="15"/>
      <c r="E26" s="16"/>
      <c r="G26" s="4" t="s">
        <v>17</v>
      </c>
      <c r="H26" s="8">
        <v>-9</v>
      </c>
      <c r="I26" s="15"/>
      <c r="J26" s="15"/>
      <c r="K26" s="16"/>
    </row>
    <row r="35" ht="18.75" x14ac:dyDescent="0.25"/>
  </sheetData>
  <mergeCells count="6">
    <mergeCell ref="G1:K1"/>
    <mergeCell ref="A1:E1"/>
    <mergeCell ref="A10:E10"/>
    <mergeCell ref="G10:K10"/>
    <mergeCell ref="A19:E19"/>
    <mergeCell ref="G19:K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04F4-2C55-4142-B5A0-678E30478DA2}">
  <dimension ref="A1:I5"/>
  <sheetViews>
    <sheetView tabSelected="1" workbookViewId="0">
      <selection activeCell="F6" sqref="F6"/>
    </sheetView>
  </sheetViews>
  <sheetFormatPr defaultRowHeight="15" x14ac:dyDescent="0.25"/>
  <cols>
    <col min="6" max="7" width="11.140625" bestFit="1" customWidth="1"/>
  </cols>
  <sheetData>
    <row r="1" spans="1:9" x14ac:dyDescent="0.25">
      <c r="A1" s="1"/>
      <c r="B1" s="1"/>
      <c r="C1" s="1"/>
      <c r="D1" s="1"/>
      <c r="E1" s="1"/>
      <c r="F1" s="1" t="s">
        <v>8</v>
      </c>
      <c r="G1" s="1"/>
      <c r="H1" s="1"/>
      <c r="I1" s="1"/>
    </row>
    <row r="2" spans="1:9" x14ac:dyDescent="0.25">
      <c r="A2" s="1" t="s">
        <v>26</v>
      </c>
      <c r="B2" s="1">
        <v>1</v>
      </c>
      <c r="C2" s="1">
        <v>1</v>
      </c>
      <c r="D2" s="1">
        <v>1</v>
      </c>
      <c r="E2" s="1">
        <v>1</v>
      </c>
      <c r="F2" s="1" cm="1">
        <f t="array" ref="F2:F4">MMULT(MINVERSE(B2:D4), E2:E4)</f>
        <v>0.20000000000000107</v>
      </c>
      <c r="G2" s="1"/>
      <c r="H2" s="1">
        <v>1</v>
      </c>
      <c r="I2" s="1" cm="1">
        <f t="array" ref="I2">_xlfn.IFS(H2&lt;=1, 0, H2&lt;=2, F2, H2&lt;=3, F2+F3, H2&gt;3, 1)</f>
        <v>0</v>
      </c>
    </row>
    <row r="3" spans="1:9" x14ac:dyDescent="0.25">
      <c r="A3" s="1" t="s">
        <v>24</v>
      </c>
      <c r="B3" s="1">
        <v>1</v>
      </c>
      <c r="C3" s="1">
        <v>2</v>
      </c>
      <c r="D3" s="1">
        <v>3</v>
      </c>
      <c r="E3" s="1">
        <v>2.2999999999999998</v>
      </c>
      <c r="F3" s="1">
        <v>0.29999999999999805</v>
      </c>
      <c r="G3" s="1"/>
      <c r="H3" s="1">
        <v>2</v>
      </c>
      <c r="I3" s="1" cm="1">
        <f t="array" ref="I3">_xlfn.IFS(H3&lt;=1, 0, H3&lt;=2, F3, H3&lt;=3, F3+F4, H3&gt;3, 1)</f>
        <v>0.29999999999999805</v>
      </c>
    </row>
    <row r="4" spans="1:9" x14ac:dyDescent="0.25">
      <c r="A4" s="1" t="s">
        <v>25</v>
      </c>
      <c r="B4" s="1">
        <f>B3^2</f>
        <v>1</v>
      </c>
      <c r="C4" s="1">
        <f t="shared" ref="C4" si="0">C3^2</f>
        <v>4</v>
      </c>
      <c r="D4" s="1">
        <f t="shared" ref="D4" si="1">D3^2</f>
        <v>9</v>
      </c>
      <c r="E4" s="1">
        <v>5.9</v>
      </c>
      <c r="F4" s="1">
        <v>0.50000000000000044</v>
      </c>
      <c r="G4" s="1"/>
      <c r="H4" s="1">
        <v>3</v>
      </c>
      <c r="I4" s="1" cm="1">
        <f t="array" ref="I4">_xlfn.IFS(H4&lt;=1, 0, H4&lt;=2, F4, H4&lt;=3, F4+F5, H4&gt;3, 1)</f>
        <v>0.50000000000000044</v>
      </c>
    </row>
    <row r="5" spans="1:9" x14ac:dyDescent="0.25">
      <c r="A5" s="1"/>
      <c r="B5" s="1"/>
      <c r="C5" s="1"/>
      <c r="D5" s="1"/>
      <c r="E5" s="1"/>
      <c r="F5" s="1"/>
      <c r="G5" s="1"/>
      <c r="H5" s="1">
        <v>4</v>
      </c>
      <c r="I5" s="1" cm="1">
        <f t="array" ref="I5">_xlfn.IFS(H5&lt;=1, 0, H5&lt;=2, F5, H5&lt;=3, F5+F6, H5&gt;3, 1)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Завдання 1</vt:lpstr>
      <vt:lpstr>Завдання 2</vt:lpstr>
      <vt:lpstr>Завдання 3-8</vt:lpstr>
      <vt:lpstr>Завдання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Anonim GG</cp:lastModifiedBy>
  <dcterms:created xsi:type="dcterms:W3CDTF">2026-03-31T19:48:48Z</dcterms:created>
  <dcterms:modified xsi:type="dcterms:W3CDTF">2026-03-31T21:13:58Z</dcterms:modified>
</cp:coreProperties>
</file>