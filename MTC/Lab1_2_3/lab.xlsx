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E:\KRNU\MTC\Lab1\"/>
    </mc:Choice>
  </mc:AlternateContent>
  <xr:revisionPtr revIDLastSave="0" documentId="13_ncr:1_{BD368522-E4F1-41E0-B338-C2B29FA8614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Розрахунок імовірності" sheetId="1" r:id="rId1"/>
    <sheet name="Комбінаторика" sheetId="2" r:id="rId2"/>
    <sheet name="Лабораторна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3" l="1"/>
  <c r="C2" i="3"/>
  <c r="A2" i="3"/>
  <c r="M3" i="2"/>
  <c r="G4" i="2"/>
  <c r="N3" i="2" s="1"/>
  <c r="G5" i="2"/>
  <c r="G6" i="2"/>
  <c r="G7" i="2"/>
  <c r="G8" i="2"/>
  <c r="G9" i="2"/>
  <c r="G10" i="2"/>
  <c r="G11" i="2"/>
  <c r="G12" i="2"/>
  <c r="G13" i="2"/>
  <c r="C5" i="2"/>
  <c r="J4" i="2"/>
  <c r="J5" i="2"/>
  <c r="J6" i="2"/>
  <c r="J7" i="2"/>
  <c r="J8" i="2"/>
  <c r="J9" i="2"/>
  <c r="J10" i="2"/>
  <c r="J11" i="2"/>
  <c r="J12" i="2"/>
  <c r="J13" i="2"/>
  <c r="J3" i="2"/>
  <c r="G3" i="2"/>
  <c r="C4" i="2"/>
  <c r="L3" i="2" s="1"/>
  <c r="C6" i="2"/>
  <c r="C7" i="2"/>
  <c r="C8" i="2"/>
  <c r="C9" i="2"/>
  <c r="C10" i="2"/>
  <c r="C11" i="2"/>
  <c r="C12" i="2"/>
  <c r="C13" i="2"/>
  <c r="C3" i="2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<sst xmlns="http://schemas.openxmlformats.org/spreadsheetml/2006/main" count="23" uniqueCount="21">
  <si>
    <t>Загальна кількість</t>
  </si>
  <si>
    <t>Сприятлива кількість</t>
  </si>
  <si>
    <t>Імовірність</t>
  </si>
  <si>
    <t>Кількість елементів підмножини</t>
  </si>
  <si>
    <t>Кількість сполучень</t>
  </si>
  <si>
    <t>Загальна кількість елементів</t>
  </si>
  <si>
    <t>Сполучення</t>
  </si>
  <si>
    <t>Розміщення</t>
  </si>
  <si>
    <t>Кількість розміщень</t>
  </si>
  <si>
    <t>Перестановки</t>
  </si>
  <si>
    <t>Кількість елементів</t>
  </si>
  <si>
    <t>Кількість перестановок</t>
  </si>
  <si>
    <t>Кількість способів</t>
  </si>
  <si>
    <t>Правило множення</t>
  </si>
  <si>
    <t>Кількість сполучень (чашок)</t>
  </si>
  <si>
    <t>Кількість сполучень (блюдця)</t>
  </si>
  <si>
    <t xml:space="preserve">Додаток Б: </t>
  </si>
  <si>
    <t xml:space="preserve">Додаток В: </t>
  </si>
  <si>
    <t xml:space="preserve">Додаток Г: </t>
  </si>
  <si>
    <t>Брак</t>
  </si>
  <si>
    <t>Продукція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</si>
</sst>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b/>
      <sz val="14"/>
      <color theme="1"/>
      <name val="Times New Roman"/>
      <family val="34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4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34ED-B7AB-E949-A21A-5B90B63B00CD}">
  <dimension ref="A1:C14"/>
  <sheetViews>
    <sheetView zoomScaleNormal="60" zoomScaleSheetLayoutView="100" workbookViewId="0">
      <selection activeCell="L15" sqref="L15"/>
    </sheetView>
  </sheetViews>
  <sheetFormatPr defaultRowHeight="14.25"/>
  <cols>
    <col min="1" max="1" width="13.875" customWidth="1"/>
    <col min="2" max="2" width="17.125" customWidth="1"/>
    <col min="3" max="3" width="15.375" customWidth="1"/>
  </cols>
  <sheetData>
    <row r="1" spans="1:3" ht="37.5">
      <c r="A1" s="1" t="s">
        <v>0</v>
      </c>
      <c r="B1" s="1" t="s">
        <v>1</v>
      </c>
      <c r="C1" s="1" t="s">
        <v>2</v>
      </c>
    </row>
    <row r="2" spans="1:3">
      <c r="A2">
        <v>6</v>
      </c>
      <c r="B2">
        <v>2</v>
      </c>
      <c r="C2">
        <f xml:space="preserve"> B2/A2</f>
        <v>0.33333333333333331</v>
      </c>
    </row>
    <row r="3" spans="1:3">
      <c r="A3">
        <v>2</v>
      </c>
      <c r="B3">
        <v>1</v>
      </c>
      <c r="C3">
        <f t="shared" ref="C3:C14" si="0" xml:space="preserve"> B3/A3</f>
        <v>0.5</v>
      </c>
    </row>
    <row r="4" spans="1:3">
      <c r="A4">
        <v>9</v>
      </c>
      <c r="B4">
        <v>4</v>
      </c>
      <c r="C4">
        <f t="shared" si="0"/>
        <v>0.44444444444444442</v>
      </c>
    </row>
    <row r="5" spans="1:3">
      <c r="A5">
        <v>20</v>
      </c>
      <c r="B5">
        <v>5</v>
      </c>
      <c r="C5">
        <f t="shared" si="0"/>
        <v>0.25</v>
      </c>
    </row>
    <row r="6" spans="1:3">
      <c r="A6">
        <v>89</v>
      </c>
      <c r="B6">
        <v>1</v>
      </c>
      <c r="C6">
        <f t="shared" si="0"/>
        <v>1.1235955056179775E-2</v>
      </c>
    </row>
    <row r="7" spans="1:3">
      <c r="A7">
        <v>89</v>
      </c>
      <c r="B7">
        <v>80</v>
      </c>
      <c r="C7">
        <f t="shared" si="0"/>
        <v>0.898876404494382</v>
      </c>
    </row>
    <row r="8" spans="1:3">
      <c r="A8">
        <v>6</v>
      </c>
      <c r="B8">
        <v>2</v>
      </c>
      <c r="C8">
        <f t="shared" si="0"/>
        <v>0.33333333333333331</v>
      </c>
    </row>
    <row r="9" spans="1:3">
      <c r="A9">
        <v>6</v>
      </c>
      <c r="B9">
        <v>3</v>
      </c>
      <c r="C9">
        <f t="shared" si="0"/>
        <v>0.5</v>
      </c>
    </row>
    <row r="10" spans="1:3">
      <c r="A10">
        <v>6</v>
      </c>
      <c r="B10">
        <v>1</v>
      </c>
      <c r="C10">
        <f t="shared" si="0"/>
        <v>0.16666666666666666</v>
      </c>
    </row>
    <row r="11" spans="1:3">
      <c r="A11">
        <v>6</v>
      </c>
      <c r="B11">
        <v>1</v>
      </c>
      <c r="C11">
        <f t="shared" si="0"/>
        <v>0.16666666666666666</v>
      </c>
    </row>
    <row r="12" spans="1:3">
      <c r="A12">
        <v>6</v>
      </c>
      <c r="B12">
        <v>3</v>
      </c>
      <c r="C12">
        <f t="shared" si="0"/>
        <v>0.5</v>
      </c>
    </row>
    <row r="13" spans="1:3">
      <c r="A13">
        <v>6</v>
      </c>
      <c r="B13">
        <v>0</v>
      </c>
      <c r="C13">
        <f t="shared" si="0"/>
        <v>0</v>
      </c>
    </row>
    <row r="14" spans="1:3">
      <c r="A14">
        <v>6</v>
      </c>
      <c r="B14">
        <v>1</v>
      </c>
      <c r="C14">
        <f t="shared" si="0"/>
        <v>0.16666666666666666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4FA5-CFEF-4948-9322-55949A51DC09}">
  <dimension ref="A1:N13"/>
  <sheetViews>
    <sheetView workbookViewId="0">
      <selection activeCell="C3" sqref="C3"/>
    </sheetView>
  </sheetViews>
  <sheetFormatPr defaultRowHeight="14.25"/>
  <cols>
    <col min="1" max="1" width="12.875" customWidth="1"/>
    <col min="2" max="2" width="16.125" customWidth="1"/>
    <col min="3" max="3" width="12.125" customWidth="1"/>
    <col min="5" max="5" width="11.875" customWidth="1"/>
    <col min="6" max="6" width="12.75" customWidth="1"/>
    <col min="7" max="7" width="12" customWidth="1"/>
    <col min="9" max="9" width="12.375" customWidth="1"/>
    <col min="10" max="10" width="14.875" customWidth="1"/>
    <col min="12" max="12" width="12.375" customWidth="1"/>
    <col min="13" max="13" width="10.75" customWidth="1"/>
  </cols>
  <sheetData>
    <row r="1" spans="1:14">
      <c r="A1" s="5" t="s">
        <v>6</v>
      </c>
      <c r="B1" s="5"/>
      <c r="C1" s="5"/>
      <c r="E1" s="6" t="s">
        <v>7</v>
      </c>
      <c r="F1" s="6"/>
      <c r="G1" s="6"/>
      <c r="I1" s="6" t="s">
        <v>9</v>
      </c>
      <c r="J1" s="6"/>
      <c r="L1" s="6" t="s">
        <v>13</v>
      </c>
      <c r="M1" s="6"/>
      <c r="N1" s="6"/>
    </row>
    <row r="2" spans="1:14" ht="42.75">
      <c r="A2" s="4" t="s">
        <v>5</v>
      </c>
      <c r="B2" s="4" t="s">
        <v>3</v>
      </c>
      <c r="C2" s="4" t="s">
        <v>4</v>
      </c>
      <c r="E2" s="4" t="s">
        <v>5</v>
      </c>
      <c r="F2" s="4" t="s">
        <v>3</v>
      </c>
      <c r="G2" s="4" t="s">
        <v>8</v>
      </c>
      <c r="I2" s="4" t="s">
        <v>10</v>
      </c>
      <c r="J2" s="4" t="s">
        <v>11</v>
      </c>
      <c r="K2" s="2"/>
      <c r="L2" s="4" t="s">
        <v>14</v>
      </c>
      <c r="M2" s="4" t="s">
        <v>15</v>
      </c>
      <c r="N2" s="4" t="s">
        <v>12</v>
      </c>
    </row>
    <row r="3" spans="1:14">
      <c r="A3" s="2">
        <v>7</v>
      </c>
      <c r="B3" s="2">
        <v>3</v>
      </c>
      <c r="C3" s="2">
        <f>COMBIN(A3,B3)</f>
        <v>35</v>
      </c>
      <c r="E3" s="2">
        <v>13</v>
      </c>
      <c r="F3" s="2">
        <v>4</v>
      </c>
      <c r="G3" s="2">
        <f>PERMUT(E3,F3)</f>
        <v>17160</v>
      </c>
      <c r="I3">
        <v>5</v>
      </c>
      <c r="J3">
        <f>FACT(I3)</f>
        <v>120</v>
      </c>
      <c r="L3">
        <f>C4</f>
        <v>5</v>
      </c>
      <c r="M3">
        <f>C5</f>
        <v>3</v>
      </c>
      <c r="N3">
        <f>L3*M3</f>
        <v>15</v>
      </c>
    </row>
    <row r="4" spans="1:14">
      <c r="A4" s="2">
        <v>5</v>
      </c>
      <c r="B4" s="2">
        <v>1</v>
      </c>
      <c r="C4" s="2">
        <f t="shared" ref="C4:C13" si="0">COMBIN(A4,B4)</f>
        <v>5</v>
      </c>
      <c r="G4" s="2">
        <f t="shared" ref="G4:G13" si="1">PERMUT(E4,F4)</f>
        <v>1</v>
      </c>
      <c r="J4">
        <f t="shared" ref="J4:J13" si="2">FACT(I4)</f>
        <v>1</v>
      </c>
    </row>
    <row r="5" spans="1:14">
      <c r="A5" s="2">
        <v>3</v>
      </c>
      <c r="B5" s="3">
        <v>1</v>
      </c>
      <c r="C5" s="2">
        <f t="shared" si="0"/>
        <v>3</v>
      </c>
      <c r="E5" s="2"/>
      <c r="F5" s="2"/>
      <c r="G5" s="2">
        <f t="shared" si="1"/>
        <v>1</v>
      </c>
      <c r="J5">
        <f t="shared" si="2"/>
        <v>1</v>
      </c>
    </row>
    <row r="6" spans="1:14">
      <c r="A6" s="2"/>
      <c r="B6" s="2"/>
      <c r="C6" s="2">
        <f t="shared" si="0"/>
        <v>1</v>
      </c>
      <c r="E6" s="2"/>
      <c r="F6" s="2"/>
      <c r="G6" s="2">
        <f t="shared" si="1"/>
        <v>1</v>
      </c>
      <c r="J6">
        <f t="shared" si="2"/>
        <v>1</v>
      </c>
    </row>
    <row r="7" spans="1:14">
      <c r="A7" s="2"/>
      <c r="B7" s="2"/>
      <c r="C7" s="2">
        <f t="shared" si="0"/>
        <v>1</v>
      </c>
      <c r="E7" s="2"/>
      <c r="F7" s="2"/>
      <c r="G7" s="2">
        <f t="shared" si="1"/>
        <v>1</v>
      </c>
      <c r="J7">
        <f t="shared" si="2"/>
        <v>1</v>
      </c>
    </row>
    <row r="8" spans="1:14">
      <c r="A8" s="2"/>
      <c r="B8" s="2"/>
      <c r="C8" s="2">
        <f t="shared" si="0"/>
        <v>1</v>
      </c>
      <c r="E8" s="2"/>
      <c r="F8" s="2"/>
      <c r="G8" s="2">
        <f t="shared" si="1"/>
        <v>1</v>
      </c>
      <c r="J8">
        <f t="shared" si="2"/>
        <v>1</v>
      </c>
    </row>
    <row r="9" spans="1:14">
      <c r="A9" s="2"/>
      <c r="B9" s="2"/>
      <c r="C9" s="2">
        <f t="shared" si="0"/>
        <v>1</v>
      </c>
      <c r="E9" s="2"/>
      <c r="F9" s="2"/>
      <c r="G9" s="2">
        <f t="shared" si="1"/>
        <v>1</v>
      </c>
      <c r="J9">
        <f t="shared" si="2"/>
        <v>1</v>
      </c>
    </row>
    <row r="10" spans="1:14">
      <c r="A10" s="2"/>
      <c r="B10" s="2"/>
      <c r="C10" s="2">
        <f t="shared" si="0"/>
        <v>1</v>
      </c>
      <c r="E10" s="2"/>
      <c r="F10" s="2"/>
      <c r="G10" s="2">
        <f t="shared" si="1"/>
        <v>1</v>
      </c>
      <c r="J10">
        <f t="shared" si="2"/>
        <v>1</v>
      </c>
    </row>
    <row r="11" spans="1:14">
      <c r="A11" s="2"/>
      <c r="B11" s="2"/>
      <c r="C11" s="2">
        <f t="shared" si="0"/>
        <v>1</v>
      </c>
      <c r="E11" s="2"/>
      <c r="F11" s="2"/>
      <c r="G11" s="2">
        <f t="shared" si="1"/>
        <v>1</v>
      </c>
      <c r="J11">
        <f t="shared" si="2"/>
        <v>1</v>
      </c>
    </row>
    <row r="12" spans="1:14">
      <c r="A12" s="2"/>
      <c r="B12" s="2"/>
      <c r="C12" s="2">
        <f t="shared" si="0"/>
        <v>1</v>
      </c>
      <c r="E12" s="2"/>
      <c r="F12" s="2"/>
      <c r="G12" s="2">
        <f t="shared" si="1"/>
        <v>1</v>
      </c>
      <c r="J12">
        <f t="shared" si="2"/>
        <v>1</v>
      </c>
    </row>
    <row r="13" spans="1:14">
      <c r="A13" s="2"/>
      <c r="B13" s="2"/>
      <c r="C13" s="2">
        <f t="shared" si="0"/>
        <v>1</v>
      </c>
      <c r="E13" s="2"/>
      <c r="F13" s="2"/>
      <c r="G13" s="2">
        <f t="shared" si="1"/>
        <v>1</v>
      </c>
      <c r="J13">
        <f t="shared" si="2"/>
        <v>1</v>
      </c>
    </row>
  </sheetData>
  <mergeCells count="4">
    <mergeCell ref="A1:C1"/>
    <mergeCell ref="E1:G1"/>
    <mergeCell ref="I1:J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BFBE-5EC8-44BE-AF4D-BFD723B98A81}">
  <dimension ref="A1:P9"/>
  <sheetViews>
    <sheetView tabSelected="1" workbookViewId="0">
      <selection activeCell="A2" sqref="A2"/>
    </sheetView>
  </sheetViews>
  <sheetFormatPr defaultRowHeight="14.25"/>
  <cols>
    <col min="1" max="1" width="11.375" customWidth="1"/>
    <col min="3" max="3" width="10.75" bestFit="1" customWidth="1"/>
    <col min="5" max="5" width="12.25" bestFit="1" customWidth="1"/>
    <col min="7" max="7" width="11.25" bestFit="1" customWidth="1"/>
    <col min="8" max="8" width="4.875" bestFit="1" customWidth="1"/>
  </cols>
  <sheetData>
    <row r="1" spans="1:16">
      <c r="A1" s="10" t="s">
        <v>16</v>
      </c>
      <c r="B1" s="9"/>
      <c r="C1" s="10" t="s">
        <v>17</v>
      </c>
      <c r="D1" s="9"/>
      <c r="E1" s="10" t="s">
        <v>18</v>
      </c>
      <c r="F1" s="9"/>
      <c r="G1" s="10" t="s">
        <v>20</v>
      </c>
      <c r="H1" s="10" t="s">
        <v>19</v>
      </c>
    </row>
    <row r="2" spans="1:16">
      <c r="A2" s="9">
        <f>_xlfn.POISSON.DIST(3, 1, 0)</f>
        <v>6.1313240195240391E-2</v>
      </c>
      <c r="B2" s="9"/>
      <c r="C2" s="9">
        <f>(_xlfn.NORM.S.INV(0.975)^2 * 0.2 * 0.8) / 0.01^2</f>
        <v>6146.3341131105981</v>
      </c>
      <c r="D2" s="9"/>
      <c r="E2" s="9">
        <f xml:space="preserve"> SUMPRODUCT(G2:G4,H2:H4)</f>
        <v>3.15E-2</v>
      </c>
      <c r="F2" s="9"/>
      <c r="G2" s="8">
        <v>0.25</v>
      </c>
      <c r="H2" s="8">
        <v>0.05</v>
      </c>
    </row>
    <row r="3" spans="1:16">
      <c r="A3" s="9"/>
      <c r="B3" s="9"/>
      <c r="C3" s="9"/>
      <c r="D3" s="9"/>
      <c r="E3" s="9"/>
      <c r="F3" s="9"/>
      <c r="G3" s="8">
        <v>0.3</v>
      </c>
      <c r="H3" s="8">
        <v>0.04</v>
      </c>
    </row>
    <row r="4" spans="1:16">
      <c r="A4" s="9"/>
      <c r="B4" s="9"/>
      <c r="C4" s="9"/>
      <c r="D4" s="9"/>
      <c r="E4" s="9"/>
      <c r="F4" s="9"/>
      <c r="G4" s="8">
        <v>0.35</v>
      </c>
      <c r="H4" s="8">
        <v>0.02</v>
      </c>
    </row>
    <row r="9" spans="1:16">
      <c r="P9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Розрахунок імовірності</vt:lpstr>
      <vt:lpstr>Комбінаторика</vt:lpstr>
      <vt:lpstr>Лабораторна3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 GG</dc:creator>
  <cp:lastModifiedBy>Anonim GG</cp:lastModifiedBy>
  <dcterms:created xsi:type="dcterms:W3CDTF">2026-03-04T09:49:12Z</dcterms:created>
  <dcterms:modified xsi:type="dcterms:W3CDTF">2026-03-25T21:12:06Z</dcterms:modified>
</cp:coreProperties>
</file>